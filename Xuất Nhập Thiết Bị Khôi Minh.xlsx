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ơn Euro/Project Xuất Nhập Kho/"/>
    </mc:Choice>
  </mc:AlternateContent>
  <xr:revisionPtr revIDLastSave="0" documentId="13_ncr:1_{98BA3031-F6E1-2E41-9E77-7A5944FD0160}" xr6:coauthVersionLast="47" xr6:coauthVersionMax="47" xr10:uidLastSave="{00000000-0000-0000-0000-000000000000}"/>
  <bookViews>
    <workbookView xWindow="34560" yWindow="600" windowWidth="38400" windowHeight="21000" xr2:uid="{00000000-000D-0000-FFFF-FFFF00000000}"/>
  </bookViews>
  <sheets>
    <sheet name="Thiết Bị Kỹ Thuật" sheetId="3" r:id="rId1"/>
    <sheet name="Phim Trường Ghi Hình" sheetId="4" r:id="rId2"/>
    <sheet name="Thiết Bị Âm Thanh" sheetId="6" r:id="rId3"/>
    <sheet name="Thiết Bị Ánh Sáng" sheetId="5" r:id="rId4"/>
    <sheet name="Màn Hình LED" sheetId="7" r:id="rId5"/>
    <sheet name="Matrix LED" sheetId="8" r:id="rId6"/>
    <sheet name="Hạng Mục Sân Khấu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4" l="1"/>
  <c r="D60" i="4"/>
  <c r="E60" i="4" s="1"/>
  <c r="D59" i="4"/>
  <c r="E59" i="4" s="1"/>
  <c r="D58" i="4"/>
  <c r="E58" i="4" s="1"/>
  <c r="E52" i="4"/>
  <c r="D50" i="4"/>
  <c r="E50" i="4" s="1"/>
  <c r="D49" i="4"/>
  <c r="E49" i="4" s="1"/>
  <c r="D48" i="4"/>
  <c r="E48" i="4" s="1"/>
  <c r="D38" i="4"/>
  <c r="E38" i="4" s="1"/>
  <c r="D37" i="4"/>
  <c r="E37" i="4" s="1"/>
  <c r="D36" i="4"/>
  <c r="E36" i="4" s="1"/>
  <c r="E40" i="4"/>
  <c r="E28" i="4"/>
  <c r="D26" i="4"/>
  <c r="E26" i="4" s="1"/>
  <c r="D25" i="4"/>
  <c r="E25" i="4" s="1"/>
  <c r="D24" i="4"/>
  <c r="E24" i="4" s="1"/>
  <c r="E16" i="4"/>
  <c r="D14" i="4"/>
  <c r="E14" i="4" s="1"/>
  <c r="D13" i="4"/>
  <c r="E13" i="4" s="1"/>
  <c r="D12" i="4"/>
  <c r="E12" i="4" s="1"/>
  <c r="E4" i="4"/>
</calcChain>
</file>

<file path=xl/sharedStrings.xml><?xml version="1.0" encoding="utf-8"?>
<sst xmlns="http://schemas.openxmlformats.org/spreadsheetml/2006/main" count="434" uniqueCount="257">
  <si>
    <t>BẢNG GIÁ THIẾT BỊ KỸ THUẬT</t>
  </si>
  <si>
    <t>STT</t>
  </si>
  <si>
    <t>TÊN THIẾT BỊ</t>
  </si>
  <si>
    <t>SL</t>
  </si>
  <si>
    <t xml:space="preserve">Switcher 16 Line SDI </t>
  </si>
  <si>
    <t xml:space="preserve">Switcher 12 Line SDI </t>
  </si>
  <si>
    <t xml:space="preserve">Switcher 8 Line SDI </t>
  </si>
  <si>
    <t xml:space="preserve">Switcher 4 Line SDI </t>
  </si>
  <si>
    <t>Mixer Audio 4-8 Line</t>
  </si>
  <si>
    <t>Mornitor 14-17'</t>
  </si>
  <si>
    <t>Monitor 5-9'</t>
  </si>
  <si>
    <t>TV Sony 65'</t>
  </si>
  <si>
    <t>TV Sony 42'</t>
  </si>
  <si>
    <t>TV Asanzo 40'</t>
  </si>
  <si>
    <t>Slide 3m</t>
  </si>
  <si>
    <t>Chân E-Mage</t>
  </si>
  <si>
    <t xml:space="preserve">Chân Vinten </t>
  </si>
  <si>
    <t>Pin V-Mount</t>
  </si>
  <si>
    <t>Thẻ SXS-64G</t>
  </si>
  <si>
    <t>Thẻ SXS-32G</t>
  </si>
  <si>
    <t>Tay Zoom Canon,Fujinon</t>
  </si>
  <si>
    <t>Tay Forcus Canon,Fujinon</t>
  </si>
  <si>
    <t>NỘI DUNG</t>
  </si>
  <si>
    <t>ĐƠN GIÁ NIÊM YẾT</t>
  </si>
  <si>
    <t>Phụ Kiện Switcher</t>
  </si>
  <si>
    <t>Ống Kính</t>
  </si>
  <si>
    <t>Monitor</t>
  </si>
  <si>
    <t>Chân Máy</t>
  </si>
  <si>
    <t>Phụ Kiện</t>
  </si>
  <si>
    <t>Audio Monitor</t>
  </si>
  <si>
    <t>Đầu Boom Vazizoom + Zoom, Forcus, Iris</t>
  </si>
  <si>
    <t>Topshot Remote</t>
  </si>
  <si>
    <t>GHI CHÚ</t>
  </si>
  <si>
    <t>Boom Remote Varizoom Full Set</t>
  </si>
  <si>
    <t xml:space="preserve">Switcher 20 Line SDI </t>
  </si>
  <si>
    <t>Ronin RS4 PRO</t>
  </si>
  <si>
    <t>Chân SECCED</t>
  </si>
  <si>
    <t>Camlink HD DJI TRANMISSTION</t>
  </si>
  <si>
    <r>
      <rPr>
        <i/>
        <sz val="14"/>
        <color rgb="FFFF0000"/>
        <rFont val="Times New Roman"/>
        <family val="1"/>
      </rPr>
      <t>Switcher Full Set Bao Gồm:</t>
    </r>
    <r>
      <rPr>
        <i/>
        <sz val="12"/>
        <color rgb="FFFF0000"/>
        <rFont val="Times New Roman"/>
        <family val="1"/>
      </rPr>
      <t xml:space="preserve">
</t>
    </r>
    <r>
      <rPr>
        <i/>
        <sz val="12"/>
        <color theme="1"/>
        <rFont val="Times New Roman"/>
        <family val="1"/>
      </rPr>
      <t>1.Switcher Controll
2.Taly-Intercom
3.Đầu ghi file Master
4.Monitor PGM
5.Mixer Audio
6.Monitor Audio
7.Dây cáp tín hiệu dưới 80m</t>
    </r>
  </si>
  <si>
    <r>
      <t xml:space="preserve">Camera Bao Gồm:
</t>
    </r>
    <r>
      <rPr>
        <i/>
        <sz val="12"/>
        <color theme="1"/>
        <rFont val="Times New Roman"/>
        <family val="1"/>
      </rPr>
      <t>1.Body + Lens Norman
2.Chân Máy
3.Pin Máy + Sạc Pin
4.Thẻ Nhớ + Đầu Chép</t>
    </r>
  </si>
  <si>
    <r>
      <rPr>
        <i/>
        <sz val="14"/>
        <color rgb="FFFF0000"/>
        <rFont val="Times New Roman"/>
        <family val="1"/>
      </rPr>
      <t>Switcher Multiview Bao Gồm:</t>
    </r>
    <r>
      <rPr>
        <i/>
        <sz val="12"/>
        <color rgb="FFFF0000"/>
        <rFont val="Times New Roman"/>
        <family val="1"/>
      </rPr>
      <t xml:space="preserve">
</t>
    </r>
    <r>
      <rPr>
        <i/>
        <sz val="12"/>
        <color theme="1"/>
        <rFont val="Times New Roman"/>
        <family val="1"/>
      </rPr>
      <t>1.Switcher Controll
2.Taly-Intercom
3.Monitor PGM
4.Dây Cáp Tín Hiệu Dưới 80m</t>
    </r>
  </si>
  <si>
    <t>Intercom Wireless</t>
  </si>
  <si>
    <t>Tally Wireless</t>
  </si>
  <si>
    <t>Bộ Chủ Intercom Naya - 360</t>
  </si>
  <si>
    <t>Bộ Chủ Intercom Naya - 180</t>
  </si>
  <si>
    <t>Đầu Ghi Blackmagic + Ổ Cứng Ghi Hình</t>
  </si>
  <si>
    <t>Bộ Teranex Mini Auido 12G</t>
  </si>
  <si>
    <t>Handycam Sony - 4K</t>
  </si>
  <si>
    <t>Handycam Sony - HD</t>
  </si>
  <si>
    <t>Dolly Dưới 20m</t>
  </si>
  <si>
    <t>Dolly Trên 20m</t>
  </si>
  <si>
    <t>Steadicam G45</t>
  </si>
  <si>
    <t>Bộ Chia SDI</t>
  </si>
  <si>
    <t>Bộ Chia HDMI</t>
  </si>
  <si>
    <t>Bộ Chuyển SDI To Optical</t>
  </si>
  <si>
    <t>Bộ Chuyển SDI To HDMI</t>
  </si>
  <si>
    <t>Bộ Chuyển HDMI To SDI</t>
  </si>
  <si>
    <t>Ổ Cứng SSD Samsung-500G</t>
  </si>
  <si>
    <t>Ổ Cứng SSD Samsung-250G</t>
  </si>
  <si>
    <t>Đầu Chép Thẻ Các Loại</t>
  </si>
  <si>
    <t>Dây Cáp SDI-50m</t>
  </si>
  <si>
    <t>Dây Cáp SDI-80m</t>
  </si>
  <si>
    <t>Mount Chuyển EF To B4</t>
  </si>
  <si>
    <t>Dây Cáp Quang - 300m</t>
  </si>
  <si>
    <t>Nội Dung</t>
  </si>
  <si>
    <t>Số Ngày</t>
  </si>
  <si>
    <t>Đơn Giá</t>
  </si>
  <si>
    <t xml:space="preserve">Thành Tiền </t>
  </si>
  <si>
    <t>Ghi Chú</t>
  </si>
  <si>
    <t>A</t>
  </si>
  <si>
    <r>
      <t xml:space="preserve">Stylish Media - </t>
    </r>
    <r>
      <rPr>
        <b/>
        <sz val="12"/>
        <color rgb="FFFF0000"/>
        <rFont val="Times New Roman"/>
        <family val="1"/>
      </rPr>
      <t>Studio 1</t>
    </r>
  </si>
  <si>
    <t>Studio 1</t>
  </si>
  <si>
    <r>
      <t xml:space="preserve">Dài : </t>
    </r>
    <r>
      <rPr>
        <sz val="12"/>
        <color rgb="FFFF0000"/>
        <rFont val="Times New Roman"/>
        <family val="1"/>
      </rPr>
      <t>25 M</t>
    </r>
  </si>
  <si>
    <r>
      <t xml:space="preserve">Ngang : </t>
    </r>
    <r>
      <rPr>
        <sz val="12"/>
        <color rgb="FFFF0000"/>
        <rFont val="Times New Roman"/>
        <family val="1"/>
      </rPr>
      <t>20 M</t>
    </r>
  </si>
  <si>
    <r>
      <t xml:space="preserve">Cao: </t>
    </r>
    <r>
      <rPr>
        <sz val="12"/>
        <color rgb="FFFF0000"/>
        <rFont val="Times New Roman"/>
        <family val="1"/>
      </rPr>
      <t>9 M</t>
    </r>
  </si>
  <si>
    <t>Phòng Master Control</t>
  </si>
  <si>
    <t>Phòng Makeup</t>
  </si>
  <si>
    <t>Hệ Thống Máy Lạnh Công Nghiệp</t>
  </si>
  <si>
    <t>Màn Đen Xung Quanh</t>
  </si>
  <si>
    <t>50% Ngày Ghi Hình</t>
  </si>
  <si>
    <t>Ngày Giữ Sân Khấu</t>
  </si>
  <si>
    <t>B</t>
  </si>
  <si>
    <r>
      <t xml:space="preserve">Stylish Media - </t>
    </r>
    <r>
      <rPr>
        <b/>
        <sz val="12"/>
        <color indexed="10"/>
        <rFont val="Times New Roman"/>
        <family val="1"/>
      </rPr>
      <t>Studio 2</t>
    </r>
  </si>
  <si>
    <t>Studio 2</t>
  </si>
  <si>
    <r>
      <t xml:space="preserve">Dài : </t>
    </r>
    <r>
      <rPr>
        <sz val="12"/>
        <color rgb="FFFF0000"/>
        <rFont val="Times New Roman"/>
        <family val="1"/>
      </rPr>
      <t>32 M</t>
    </r>
  </si>
  <si>
    <r>
      <t xml:space="preserve">Ngang : </t>
    </r>
    <r>
      <rPr>
        <sz val="12"/>
        <color rgb="FFFF0000"/>
        <rFont val="Times New Roman"/>
        <family val="1"/>
      </rPr>
      <t>25 M</t>
    </r>
  </si>
  <si>
    <t>D</t>
  </si>
  <si>
    <t>Ngày Chạy Chương Trình</t>
  </si>
  <si>
    <t>C</t>
  </si>
  <si>
    <r>
      <t xml:space="preserve">Stylish Media - </t>
    </r>
    <r>
      <rPr>
        <b/>
        <sz val="12"/>
        <color indexed="10"/>
        <rFont val="Times New Roman"/>
        <family val="1"/>
      </rPr>
      <t>Studio 3</t>
    </r>
  </si>
  <si>
    <t>Studio 3</t>
  </si>
  <si>
    <r>
      <t xml:space="preserve">Dài : </t>
    </r>
    <r>
      <rPr>
        <sz val="12"/>
        <color rgb="FFFF0000"/>
        <rFont val="Times New Roman"/>
        <family val="1"/>
      </rPr>
      <t>27 M</t>
    </r>
  </si>
  <si>
    <r>
      <t xml:space="preserve">Ngang : </t>
    </r>
    <r>
      <rPr>
        <sz val="12"/>
        <color rgb="FFFF0000"/>
        <rFont val="Times New Roman"/>
        <family val="1"/>
      </rPr>
      <t>22 M</t>
    </r>
  </si>
  <si>
    <t>Studio 4</t>
  </si>
  <si>
    <t>E</t>
  </si>
  <si>
    <t>Ngày Setup + Tháo Dỡ</t>
  </si>
  <si>
    <r>
      <t xml:space="preserve">Stylish Media - </t>
    </r>
    <r>
      <rPr>
        <b/>
        <sz val="12"/>
        <color rgb="FFFF0000"/>
        <rFont val="Times New Roman"/>
        <family val="1"/>
      </rPr>
      <t>Studio 4</t>
    </r>
  </si>
  <si>
    <r>
      <t xml:space="preserve">Dài : </t>
    </r>
    <r>
      <rPr>
        <sz val="12"/>
        <color rgb="FFFF0000"/>
        <rFont val="Times New Roman"/>
        <family val="1"/>
      </rPr>
      <t>18 M</t>
    </r>
  </si>
  <si>
    <r>
      <t xml:space="preserve">Ngang : </t>
    </r>
    <r>
      <rPr>
        <sz val="12"/>
        <color rgb="FFFF0000"/>
        <rFont val="Times New Roman"/>
        <family val="1"/>
      </rPr>
      <t>12 M</t>
    </r>
  </si>
  <si>
    <r>
      <t xml:space="preserve">Cao: </t>
    </r>
    <r>
      <rPr>
        <sz val="12"/>
        <color rgb="FFFF0000"/>
        <rFont val="Times New Roman"/>
        <family val="1"/>
      </rPr>
      <t>6 M</t>
    </r>
  </si>
  <si>
    <r>
      <t xml:space="preserve">Stylish Media - </t>
    </r>
    <r>
      <rPr>
        <b/>
        <sz val="12"/>
        <color rgb="FFFF0000"/>
        <rFont val="Times New Roman"/>
        <family val="1"/>
      </rPr>
      <t>Phòng VT</t>
    </r>
  </si>
  <si>
    <t>VT - Room</t>
  </si>
  <si>
    <r>
      <t xml:space="preserve">Dài : </t>
    </r>
    <r>
      <rPr>
        <sz val="12"/>
        <color rgb="FFFF0000"/>
        <rFont val="Times New Roman"/>
        <family val="1"/>
      </rPr>
      <t>7 M</t>
    </r>
  </si>
  <si>
    <r>
      <t xml:space="preserve">Ngang : </t>
    </r>
    <r>
      <rPr>
        <sz val="12"/>
        <color rgb="FFFF0000"/>
        <rFont val="Times New Roman"/>
        <family val="1"/>
      </rPr>
      <t>5 M</t>
    </r>
  </si>
  <si>
    <r>
      <t xml:space="preserve">Cao: </t>
    </r>
    <r>
      <rPr>
        <sz val="12"/>
        <color rgb="FFFF0000"/>
        <rFont val="Times New Roman"/>
        <family val="1"/>
      </rPr>
      <t>3 M</t>
    </r>
  </si>
  <si>
    <t xml:space="preserve">Điện Tiêu Thụ - Các Phim Trường </t>
  </si>
  <si>
    <t>Điện Tiêu Thụ Các Phim Trường</t>
  </si>
  <si>
    <t>Đơn Giá : 4000VNĐ/KW</t>
  </si>
  <si>
    <t>Cái</t>
  </si>
  <si>
    <t>Gói</t>
  </si>
  <si>
    <t>Thiết Bị
Điều Khiển</t>
  </si>
  <si>
    <t>Mixer Live Midas M32</t>
  </si>
  <si>
    <t>Main Công Suất 2 Kênh</t>
  </si>
  <si>
    <t>Main Công Suất 4 Kênh</t>
  </si>
  <si>
    <t>Hệ Thống Micro</t>
  </si>
  <si>
    <t>Bộ Chia Ăngten ASA</t>
  </si>
  <si>
    <t>Bộ</t>
  </si>
  <si>
    <t>Lá Sóng Định Hướng Ăngten ADP UHF</t>
  </si>
  <si>
    <t>Thiết Bị + Vật Tư
 Setup Hệ Thống</t>
  </si>
  <si>
    <t>Stand Chân Loa Monitor</t>
  </si>
  <si>
    <t>Balang Treo Loa</t>
  </si>
  <si>
    <t>Giá Treo Loa</t>
  </si>
  <si>
    <t>Dây Đai Bẹ Treo Loa</t>
  </si>
  <si>
    <t>Sợi</t>
  </si>
  <si>
    <t>Mét</t>
  </si>
  <si>
    <t>Jack Canon Tín Hiệu Đực Cái</t>
  </si>
  <si>
    <t>Cặp</t>
  </si>
  <si>
    <t>Dây Mạng CAT6</t>
  </si>
  <si>
    <t>Tủ Điện 100A</t>
  </si>
  <si>
    <t>Nhân Công</t>
  </si>
  <si>
    <t>Thiết Bị Điều Khiển</t>
  </si>
  <si>
    <t>Controller Tiger Touch</t>
  </si>
  <si>
    <t>Hệ Thống Ánh Sáng</t>
  </si>
  <si>
    <t>Đèn Par Led 1810</t>
  </si>
  <si>
    <t>Đèn Big Eye 1915</t>
  </si>
  <si>
    <t>Đèn Katana 1240</t>
  </si>
  <si>
    <t>Đèn Profile Led 300</t>
  </si>
  <si>
    <t>Đèn Cob 200</t>
  </si>
  <si>
    <t xml:space="preserve">Thiết Bị Tăng Cường </t>
  </si>
  <si>
    <t>Máy Khói HZ650w</t>
  </si>
  <si>
    <t>Quạt Khói</t>
  </si>
  <si>
    <t>Balang 2T Treo Truss</t>
  </si>
  <si>
    <t>Dây Đai Bẹ Treo Truss</t>
  </si>
  <si>
    <t>Tủ Điện 250A</t>
  </si>
  <si>
    <t>Danh Mục Thiết Bị Ánh Sáng Hiệu Ứng</t>
  </si>
  <si>
    <t>Danh Mục Thiết Bị Âm Thanh</t>
  </si>
  <si>
    <t>Module Led 
Và Thiết Bị Điều Khiển</t>
  </si>
  <si>
    <t>Led P3.91 Indoor ( Cabin 500x500)
Kích Thước Điểm Ảnh 3.91mm
Kích Thước Module 250mmx250mm
Tỉ Lệ Quét Khung Hình 60frames/s
Tỉ lệ Làm Tươi Hình 3840hz</t>
  </si>
  <si>
    <t>Magnimage - MH570</t>
  </si>
  <si>
    <t>Cardsen Nova MCTRL600</t>
  </si>
  <si>
    <t>Dây Mạng CAT6 (20 Sợi 50m)</t>
  </si>
  <si>
    <t>Danh Mục Thiết Bị Màn Hình Led</t>
  </si>
  <si>
    <t>Matrix Led</t>
  </si>
  <si>
    <t xml:space="preserve">Led Matrix Dây ICSJ-10060 RGB-DMX </t>
  </si>
  <si>
    <t>Arnet 16 Port</t>
  </si>
  <si>
    <t>Nguồn 12V</t>
  </si>
  <si>
    <t>Thiết Bị Điều Khiền</t>
  </si>
  <si>
    <t>Key5 Điều Khiển Phần Mềm</t>
  </si>
  <si>
    <t>Thiết Bị Tín Hiệu</t>
  </si>
  <si>
    <t>Dây Mạng CAT6 (7 Sợi 70m)</t>
  </si>
  <si>
    <t>Danh Mục Thiết Bị Led Matrix</t>
  </si>
  <si>
    <t>Danh Mục Sân Khấu</t>
  </si>
  <si>
    <t>Sàn</t>
  </si>
  <si>
    <t>M2</t>
  </si>
  <si>
    <t>NEW - Kính Quá Khổ Hoặc Công</t>
  </si>
  <si>
    <t>NEW - Kính Khổ 1m x 2m</t>
  </si>
  <si>
    <t>Cho Thuê - Kính Khổ 1m x 2m</t>
  </si>
  <si>
    <t>Kính Cường Lực 12mm - NEW</t>
  </si>
  <si>
    <t>Kính Cường Lực 12mm - Cho Thuê</t>
  </si>
  <si>
    <t>Ván MDF - NEW</t>
  </si>
  <si>
    <t>M3</t>
  </si>
  <si>
    <t>Ván MDF - Cho Thuê</t>
  </si>
  <si>
    <t>Decal - Màu Cơ Bản</t>
  </si>
  <si>
    <t>Decal In Artwork</t>
  </si>
  <si>
    <t>Decal In Artwork ( Xuyên Đèn )</t>
  </si>
  <si>
    <t>Decal In + Bế Artwork ( Xuyên Đèn )</t>
  </si>
  <si>
    <t>Mặt Dựng : Khung Sắt + Ván + Sơn</t>
  </si>
  <si>
    <t>Mặt Dựng : Khung Sắt + Mica Trong + Led 7 Màu</t>
  </si>
  <si>
    <t>Mặt Dựng : Khung Sắt Để Gắn LED</t>
  </si>
  <si>
    <t>Khung Sắt Vuông 30 x 30 - Thẳng + Làm Mới</t>
  </si>
  <si>
    <t>Khung Sắt Vuông 30 x 30 - Thẳng + Cho Thuê</t>
  </si>
  <si>
    <t>Khung Sắt Vuông 30 x 30 - Cong - Quá Khổ + Làm Mới</t>
  </si>
  <si>
    <t>Khung Sắt Vuông 30 x 30 - Cong - Quá Khổ + Cho Thuê</t>
  </si>
  <si>
    <t>Khung Sắt</t>
  </si>
  <si>
    <t>Khung Sắt + Hiflex</t>
  </si>
  <si>
    <t>Khung Sắt + Formex + In PP ( 1 Mặt )</t>
  </si>
  <si>
    <t>Khung Sắt + Formex + In PP ( 2 Mặt )</t>
  </si>
  <si>
    <t>Khung Sắt + Ván Sơn Màu</t>
  </si>
  <si>
    <t>Background</t>
  </si>
  <si>
    <t>Hộp Đèn 10cm : Khung Sắt + Mica + Nguồn + Dây LED</t>
  </si>
  <si>
    <t>M</t>
  </si>
  <si>
    <t>Hộp Đèn 20cm : Khung Sắt + Mica + Nguồn + Dây LED</t>
  </si>
  <si>
    <t>Hộp Đèn 30cm : Khung Sắt + Mica + Nguồn + Dây LED</t>
  </si>
  <si>
    <t>Hộp Đèn</t>
  </si>
  <si>
    <t>Layer Truss</t>
  </si>
  <si>
    <t>Layer Truss + Gia Cố</t>
  </si>
  <si>
    <t>Đơn Vị Tính</t>
  </si>
  <si>
    <t>Số Lượng</t>
  </si>
  <si>
    <t>Tên Thiết Bị</t>
  </si>
  <si>
    <t>Mixer Live Alen&amp;Heat SQ7</t>
  </si>
  <si>
    <t>Mixer Live Yamaha TF1</t>
  </si>
  <si>
    <t>Hệ Thống Loa</t>
  </si>
  <si>
    <t>Speaker Sub RCF 9006 AS</t>
  </si>
  <si>
    <t>Speaker Full Array RCF HDL 3OA</t>
  </si>
  <si>
    <t>Speaker Monitor RCF ST12 SMA</t>
  </si>
  <si>
    <t xml:space="preserve">Microphone  Cầm Tay Shure ulxd </t>
  </si>
  <si>
    <t>Microphone Headset Shure ulxd1-G50</t>
  </si>
  <si>
    <t>Microphone Headset Sennheiser G3</t>
  </si>
  <si>
    <t>Inear Shure Axient AD</t>
  </si>
  <si>
    <t>Inear Sennheiser IEM 300</t>
  </si>
  <si>
    <t>Microphone  Shure MX418 phát biểu</t>
  </si>
  <si>
    <t>Microphone  Shure DPA</t>
  </si>
  <si>
    <t>Cáp Line, 24in-8out Dài 50m</t>
  </si>
  <si>
    <t>Người</t>
  </si>
  <si>
    <t>Nhân Công Lắp Đặt - Làm Việc 12h</t>
  </si>
  <si>
    <t>Nhân Công Vận Hành - Làm Việc 12h</t>
  </si>
  <si>
    <t>Máy Tính Lập Trình MSI Stealth 14 AI Studio</t>
  </si>
  <si>
    <t>Dây Nguồn Điện</t>
  </si>
  <si>
    <t>Led P3.91 Outdoor ( Cabin 500x500)
Kích Thước Điểm Ảnh 3.91mm
Kích Thước Module 250mmx250mm
Tỉ Lệ Quét Khung Hình 60frames/s
Tỉ lệ Làm Tươi Hình 3840hz</t>
  </si>
  <si>
    <t>Magnimage - EC40</t>
  </si>
  <si>
    <t>Controller MA2</t>
  </si>
  <si>
    <t xml:space="preserve">Đèn Movinghead Spot 1000w </t>
  </si>
  <si>
    <t xml:space="preserve">Đèn Movinghead Spot 400w </t>
  </si>
  <si>
    <t>Đèn Movinghead Beam 260w</t>
  </si>
  <si>
    <t>Đèn Daylight 3618</t>
  </si>
  <si>
    <t>Đèn Strobe led 250</t>
  </si>
  <si>
    <t>Đèn Blinder Led 200</t>
  </si>
  <si>
    <t>Máy Khói Z3000w</t>
  </si>
  <si>
    <t>Khung Truss Nhuôm Treo Đèn 400x400</t>
  </si>
  <si>
    <t>Khung Truss Nhuôm Treo Đèn 520x760</t>
  </si>
  <si>
    <t>Khung Truss Nhuôm Treo Đèn 800x1000</t>
  </si>
  <si>
    <t>Dây Tín Hiệu</t>
  </si>
  <si>
    <t>Khung Truss</t>
  </si>
  <si>
    <t>Các Thiết Bị Đặc Biệt</t>
  </si>
  <si>
    <t>BẢNG GIÁ PHIM TRƯỜNG</t>
  </si>
  <si>
    <t>Camera Sony X400</t>
  </si>
  <si>
    <t>Camera Sony FX3</t>
  </si>
  <si>
    <t>Camera Sony FX6</t>
  </si>
  <si>
    <t>Camera Sony PMW-350</t>
  </si>
  <si>
    <t>Lens Wide 4K</t>
  </si>
  <si>
    <t>Lens Supper Tele Canon 40x</t>
  </si>
  <si>
    <t>Lens Supper Tele Fujinon 42x</t>
  </si>
  <si>
    <t>Lens Tele 138mm-X2</t>
  </si>
  <si>
    <t>Lens Tele Zoom 160mm-172mm</t>
  </si>
  <si>
    <t>Lens Norman</t>
  </si>
  <si>
    <t>Lens Canon Cine 24-50-85</t>
  </si>
  <si>
    <t>Lens Canon EF</t>
  </si>
  <si>
    <t>Lens 16/35 PZ</t>
  </si>
  <si>
    <t>Lens 28/135 PZ</t>
  </si>
  <si>
    <t>Lens 24/70 GM</t>
  </si>
  <si>
    <t>Lens 16/35 GM</t>
  </si>
  <si>
    <t>Lens 70/200 GM</t>
  </si>
  <si>
    <t>Lens 70/200.GM2</t>
  </si>
  <si>
    <t>Lens 200/600</t>
  </si>
  <si>
    <t>Lens 400/800</t>
  </si>
  <si>
    <t>Lens Wide Canon PL/EF, 17-120</t>
  </si>
  <si>
    <t>Mornitor 27 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</si>
</sst>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.00\ &quot;₫&quot;_-;\-* #,##0.00\ &quot;₫&quot;_-;_-* &quot;-&quot;??\ &quot;₫&quot;_-;_-@_-"/>
    <numFmt numFmtId="165" formatCode="_-* #,##0\ _₫_-;\-* #,##0\ _₫_-;_-* &quot;-&quot;??\ _₫_-;_-@_-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rgb="FFFF0000"/>
      <name val="Times New Roman"/>
      <family val="1"/>
    </font>
    <font>
      <i/>
      <sz val="14"/>
      <color rgb="FFFF0000"/>
      <name val="Times New Roman"/>
      <family val="1"/>
    </font>
    <font>
      <i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b/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i/>
      <sz val="12"/>
      <color indexed="10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2"/>
      <color indexed="10"/>
      <name val="Times New Roman"/>
      <family val="1"/>
    </font>
    <font>
      <b/>
      <i/>
      <sz val="15"/>
      <color rgb="FFFF0000"/>
      <name val="Times New Roman"/>
      <family val="1"/>
    </font>
    <font>
      <i/>
      <sz val="15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</cellStyleXfs>
  <cellXfs count="162">
    <xf numFmtId="0" fontId="0" fillId="0" borderId="0" xfId="0"/>
    <xf numFmtId="0" fontId="4" fillId="0" borderId="1" xfId="2" applyFont="1" applyBorder="1" applyAlignment="1">
      <alignment vertical="center"/>
    </xf>
    <xf numFmtId="0" fontId="4" fillId="0" borderId="1" xfId="2" applyFont="1" applyBorder="1" applyAlignment="1">
      <alignment horizontal="center" vertical="center"/>
    </xf>
    <xf numFmtId="165" fontId="4" fillId="0" borderId="1" xfId="3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4" fillId="0" borderId="0" xfId="0" applyFont="1"/>
    <xf numFmtId="0" fontId="9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1" fontId="10" fillId="3" borderId="1" xfId="1" applyFont="1" applyFill="1" applyBorder="1" applyAlignment="1">
      <alignment horizontal="center" vertical="center" wrapText="1"/>
    </xf>
    <xf numFmtId="165" fontId="10" fillId="3" borderId="1" xfId="3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0" borderId="0" xfId="0" applyFont="1"/>
    <xf numFmtId="0" fontId="11" fillId="4" borderId="1" xfId="0" applyFont="1" applyFill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 wrapText="1"/>
    </xf>
    <xf numFmtId="3" fontId="13" fillId="5" borderId="1" xfId="0" applyNumberFormat="1" applyFont="1" applyFill="1" applyBorder="1" applyAlignment="1">
      <alignment horizontal="right" vertical="center" wrapText="1"/>
    </xf>
    <xf numFmtId="0" fontId="14" fillId="5" borderId="1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horizontal="center" vertical="center" wrapText="1"/>
    </xf>
    <xf numFmtId="3" fontId="13" fillId="6" borderId="1" xfId="0" applyNumberFormat="1" applyFont="1" applyFill="1" applyBorder="1" applyAlignment="1">
      <alignment horizontal="right" vertical="center" wrapText="1"/>
    </xf>
    <xf numFmtId="0" fontId="14" fillId="6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3" fontId="19" fillId="0" borderId="1" xfId="0" applyNumberFormat="1" applyFont="1" applyBorder="1" applyAlignment="1">
      <alignment vertical="center" wrapText="1"/>
    </xf>
    <xf numFmtId="0" fontId="15" fillId="5" borderId="1" xfId="0" applyFont="1" applyFill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right" vertical="center" wrapText="1"/>
    </xf>
    <xf numFmtId="0" fontId="14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 wrapText="1"/>
    </xf>
    <xf numFmtId="3" fontId="5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49" fontId="18" fillId="0" borderId="1" xfId="0" applyNumberFormat="1" applyFont="1" applyBorder="1" applyAlignment="1">
      <alignment horizontal="center" vertical="center" wrapText="1"/>
    </xf>
    <xf numFmtId="41" fontId="18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1" fontId="4" fillId="0" borderId="1" xfId="1" applyFont="1" applyBorder="1" applyAlignment="1">
      <alignment horizontal="center" vertical="center" wrapText="1"/>
    </xf>
    <xf numFmtId="41" fontId="4" fillId="0" borderId="1" xfId="1" applyFont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41" fontId="4" fillId="0" borderId="1" xfId="1" applyFont="1" applyBorder="1" applyAlignment="1">
      <alignment horizontal="right" vertical="center" wrapText="1"/>
    </xf>
    <xf numFmtId="41" fontId="18" fillId="0" borderId="1" xfId="1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0" xfId="0" applyFont="1"/>
    <xf numFmtId="0" fontId="4" fillId="0" borderId="1" xfId="0" applyFont="1" applyBorder="1" applyAlignment="1">
      <alignment horizontal="center"/>
    </xf>
    <xf numFmtId="41" fontId="4" fillId="0" borderId="1" xfId="1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center"/>
    </xf>
    <xf numFmtId="41" fontId="24" fillId="0" borderId="1" xfId="1" applyFont="1" applyFill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2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41" fontId="24" fillId="0" borderId="1" xfId="1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22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18" fillId="10" borderId="1" xfId="0" applyFont="1" applyFill="1" applyBorder="1" applyAlignment="1">
      <alignment horizontal="center" vertical="center" wrapText="1"/>
    </xf>
    <xf numFmtId="49" fontId="18" fillId="10" borderId="1" xfId="0" applyNumberFormat="1" applyFont="1" applyFill="1" applyBorder="1" applyAlignment="1">
      <alignment horizontal="left" vertical="center" wrapText="1"/>
    </xf>
    <xf numFmtId="49" fontId="18" fillId="10" borderId="1" xfId="0" applyNumberFormat="1" applyFont="1" applyFill="1" applyBorder="1" applyAlignment="1">
      <alignment horizontal="center" vertical="center" wrapText="1"/>
    </xf>
    <xf numFmtId="0" fontId="18" fillId="0" borderId="0" xfId="0" applyFont="1"/>
    <xf numFmtId="41" fontId="4" fillId="0" borderId="1" xfId="1" applyFont="1" applyBorder="1" applyAlignment="1">
      <alignment horizontal="center" vertical="center"/>
    </xf>
    <xf numFmtId="41" fontId="10" fillId="8" borderId="1" xfId="1" applyFont="1" applyFill="1" applyBorder="1" applyAlignment="1">
      <alignment horizontal="center" vertical="top" wrapText="1"/>
    </xf>
    <xf numFmtId="41" fontId="10" fillId="8" borderId="1" xfId="1" applyFont="1" applyFill="1" applyBorder="1" applyAlignment="1">
      <alignment horizontal="center" vertical="center" wrapText="1"/>
    </xf>
    <xf numFmtId="165" fontId="10" fillId="8" borderId="1" xfId="3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41" fontId="24" fillId="0" borderId="3" xfId="1" applyFont="1" applyFill="1" applyBorder="1" applyAlignment="1">
      <alignment vertical="center"/>
    </xf>
    <xf numFmtId="0" fontId="4" fillId="8" borderId="5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4" fillId="3" borderId="5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/>
    </xf>
    <xf numFmtId="0" fontId="4" fillId="3" borderId="7" xfId="2" applyFont="1" applyFill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3" fontId="19" fillId="0" borderId="1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3" fontId="19" fillId="0" borderId="1" xfId="0" applyNumberFormat="1" applyFont="1" applyBorder="1" applyAlignment="1">
      <alignment horizontal="right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 wrapText="1"/>
    </xf>
    <xf numFmtId="0" fontId="21" fillId="7" borderId="8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1" fillId="8" borderId="7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41" fontId="24" fillId="0" borderId="2" xfId="1" applyFont="1" applyFill="1" applyBorder="1" applyAlignment="1">
      <alignment horizontal="center" vertical="center"/>
    </xf>
    <xf numFmtId="41" fontId="24" fillId="0" borderId="3" xfId="1" applyFont="1" applyFill="1" applyBorder="1" applyAlignment="1">
      <alignment horizontal="center" vertical="center"/>
    </xf>
    <xf numFmtId="41" fontId="24" fillId="0" borderId="4" xfId="1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/>
    </xf>
    <xf numFmtId="0" fontId="21" fillId="9" borderId="6" xfId="0" applyFont="1" applyFill="1" applyBorder="1" applyAlignment="1">
      <alignment horizontal="center" vertical="center"/>
    </xf>
    <xf numFmtId="0" fontId="21" fillId="9" borderId="7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 wrapText="1"/>
    </xf>
  </cellXfs>
  <cellStyles count="4">
    <cellStyle name="Comma [0]" xfId="1" builtinId="6"/>
    <cellStyle name="Currency" xfId="3" builtinId="4"/>
    <cellStyle name="Normal" xfId="0" builtinId="0"/>
    <cellStyle name="Normal 2" xfId="2" xr:uid="{00000000-0005-0000-0000-000004000000}"/>
  </cellStyles>
  <dxfs count="0"/>
  <tableStyles count="0" defaultTableStyle="TableStyleMedium2" defaultPivotStyle="PivotStyleLight16"/>
  <colors>
    <mruColors>
      <color rgb="FFE7D9F4"/>
      <color rgb="FFCBB9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543C6-ED30-1447-9408-398373959916}">
  <dimension ref="A1:F86"/>
  <sheetViews>
    <sheetView tabSelected="1" topLeftCell="A39" zoomScale="150" zoomScaleNormal="150" workbookViewId="0">
      <selection activeCell="D3" sqref="D3"/>
    </sheetView>
  </sheetViews>
  <sheetFormatPr baseColWidth="10" defaultColWidth="11" defaultRowHeight="16" x14ac:dyDescent="0.2"/>
  <cols>
    <col min="1" max="1" width="5.1640625" style="5" customWidth="1"/>
    <col min="2" max="2" width="31" style="6" bestFit="1" customWidth="1"/>
    <col min="3" max="3" width="41.83203125" style="5" customWidth="1"/>
    <col min="4" max="4" width="11" style="5"/>
    <col min="5" max="5" width="28.33203125" style="7" customWidth="1"/>
    <col min="6" max="6" width="32.83203125" style="8" customWidth="1"/>
    <col min="7" max="16384" width="11" style="5"/>
  </cols>
  <sheetData>
    <row r="1" spans="1:6" s="12" customFormat="1" ht="20" customHeight="1" x14ac:dyDescent="0.2">
      <c r="A1" s="88" t="s">
        <v>0</v>
      </c>
      <c r="B1" s="89"/>
      <c r="C1" s="89"/>
      <c r="D1" s="89"/>
      <c r="E1" s="89"/>
      <c r="F1" s="90"/>
    </row>
    <row r="2" spans="1:6" s="12" customFormat="1" ht="20" customHeight="1" x14ac:dyDescent="0.2">
      <c r="A2" s="9" t="s">
        <v>1</v>
      </c>
      <c r="B2" s="9" t="s">
        <v>22</v>
      </c>
      <c r="C2" s="9" t="s">
        <v>2</v>
      </c>
      <c r="D2" s="9" t="s">
        <v>3</v>
      </c>
      <c r="E2" s="10" t="s">
        <v>23</v>
      </c>
      <c r="F2" s="11" t="s">
        <v>32</v>
      </c>
    </row>
    <row r="3" spans="1:6" ht="20" customHeight="1" x14ac:dyDescent="0.2">
      <c r="A3" s="82">
        <v>1</v>
      </c>
      <c r="B3" s="85" t="s">
        <v>38</v>
      </c>
      <c r="C3" s="1" t="s">
        <v>34</v>
      </c>
      <c r="D3" s="2">
        <v>1</v>
      </c>
      <c r="E3" s="3">
        <v>8000000</v>
      </c>
      <c r="F3" s="4"/>
    </row>
    <row r="4" spans="1:6" ht="20" customHeight="1" x14ac:dyDescent="0.2">
      <c r="A4" s="83"/>
      <c r="B4" s="86"/>
      <c r="C4" s="1" t="s">
        <v>4</v>
      </c>
      <c r="D4" s="2">
        <v>1</v>
      </c>
      <c r="E4" s="3">
        <v>6000000</v>
      </c>
      <c r="F4" s="4"/>
    </row>
    <row r="5" spans="1:6" ht="20" customHeight="1" x14ac:dyDescent="0.2">
      <c r="A5" s="83"/>
      <c r="B5" s="86"/>
      <c r="C5" s="1" t="s">
        <v>5</v>
      </c>
      <c r="D5" s="2">
        <v>1</v>
      </c>
      <c r="E5" s="3">
        <v>4200000</v>
      </c>
      <c r="F5" s="4"/>
    </row>
    <row r="6" spans="1:6" ht="20" customHeight="1" x14ac:dyDescent="0.2">
      <c r="A6" s="83"/>
      <c r="B6" s="86"/>
      <c r="C6" s="1" t="s">
        <v>6</v>
      </c>
      <c r="D6" s="2">
        <v>1</v>
      </c>
      <c r="E6" s="3">
        <v>3700000</v>
      </c>
      <c r="F6" s="4"/>
    </row>
    <row r="7" spans="1:6" ht="20" customHeight="1" x14ac:dyDescent="0.2">
      <c r="A7" s="84"/>
      <c r="B7" s="87"/>
      <c r="C7" s="1" t="s">
        <v>7</v>
      </c>
      <c r="D7" s="2">
        <v>1</v>
      </c>
      <c r="E7" s="3">
        <v>2100000</v>
      </c>
      <c r="F7" s="4"/>
    </row>
    <row r="8" spans="1:6" ht="20" customHeight="1" x14ac:dyDescent="0.2">
      <c r="A8" s="91"/>
      <c r="B8" s="92"/>
      <c r="C8" s="92"/>
      <c r="D8" s="92"/>
      <c r="E8" s="92"/>
      <c r="F8" s="93"/>
    </row>
    <row r="9" spans="1:6" ht="20" customHeight="1" x14ac:dyDescent="0.2">
      <c r="A9" s="82">
        <v>2</v>
      </c>
      <c r="B9" s="85" t="s">
        <v>40</v>
      </c>
      <c r="C9" s="1" t="s">
        <v>4</v>
      </c>
      <c r="D9" s="2">
        <v>1</v>
      </c>
      <c r="E9" s="3">
        <v>4500000</v>
      </c>
      <c r="F9" s="4"/>
    </row>
    <row r="10" spans="1:6" ht="20" customHeight="1" x14ac:dyDescent="0.2">
      <c r="A10" s="83"/>
      <c r="B10" s="94"/>
      <c r="C10" s="1" t="s">
        <v>5</v>
      </c>
      <c r="D10" s="2">
        <v>1</v>
      </c>
      <c r="E10" s="3">
        <v>3200000</v>
      </c>
      <c r="F10" s="4"/>
    </row>
    <row r="11" spans="1:6" ht="20" customHeight="1" x14ac:dyDescent="0.2">
      <c r="A11" s="83"/>
      <c r="B11" s="94"/>
      <c r="C11" s="1" t="s">
        <v>6</v>
      </c>
      <c r="D11" s="2">
        <v>1</v>
      </c>
      <c r="E11" s="3">
        <v>2700000</v>
      </c>
      <c r="F11" s="4"/>
    </row>
    <row r="12" spans="1:6" ht="20" customHeight="1" x14ac:dyDescent="0.2">
      <c r="A12" s="84"/>
      <c r="B12" s="95"/>
      <c r="C12" s="1" t="s">
        <v>7</v>
      </c>
      <c r="D12" s="2">
        <v>1</v>
      </c>
      <c r="E12" s="3">
        <v>1600000</v>
      </c>
      <c r="F12" s="4"/>
    </row>
    <row r="13" spans="1:6" ht="20" customHeight="1" x14ac:dyDescent="0.2">
      <c r="A13" s="91"/>
      <c r="B13" s="92"/>
      <c r="C13" s="92"/>
      <c r="D13" s="92"/>
      <c r="E13" s="92"/>
      <c r="F13" s="93"/>
    </row>
    <row r="14" spans="1:6" ht="20" customHeight="1" x14ac:dyDescent="0.2">
      <c r="A14" s="82">
        <v>4</v>
      </c>
      <c r="B14" s="96" t="s">
        <v>24</v>
      </c>
      <c r="C14" s="1" t="s">
        <v>43</v>
      </c>
      <c r="D14" s="2">
        <v>1</v>
      </c>
      <c r="E14" s="3">
        <v>2000000</v>
      </c>
      <c r="F14" s="4"/>
    </row>
    <row r="15" spans="1:6" ht="20" customHeight="1" x14ac:dyDescent="0.2">
      <c r="A15" s="83"/>
      <c r="B15" s="97"/>
      <c r="C15" s="1" t="s">
        <v>44</v>
      </c>
      <c r="D15" s="2">
        <v>1</v>
      </c>
      <c r="E15" s="3">
        <v>1000000</v>
      </c>
      <c r="F15" s="4"/>
    </row>
    <row r="16" spans="1:6" ht="20" customHeight="1" x14ac:dyDescent="0.2">
      <c r="A16" s="83"/>
      <c r="B16" s="97"/>
      <c r="C16" s="1" t="s">
        <v>41</v>
      </c>
      <c r="D16" s="2">
        <v>1</v>
      </c>
      <c r="E16" s="3">
        <v>200000</v>
      </c>
      <c r="F16" s="4"/>
    </row>
    <row r="17" spans="1:6" ht="20" customHeight="1" x14ac:dyDescent="0.2">
      <c r="A17" s="83"/>
      <c r="B17" s="97"/>
      <c r="C17" s="1" t="s">
        <v>42</v>
      </c>
      <c r="D17" s="2">
        <v>1</v>
      </c>
      <c r="E17" s="3">
        <v>100000</v>
      </c>
      <c r="F17" s="4"/>
    </row>
    <row r="18" spans="1:6" ht="20" customHeight="1" x14ac:dyDescent="0.2">
      <c r="A18" s="83"/>
      <c r="B18" s="97"/>
      <c r="C18" s="1" t="s">
        <v>45</v>
      </c>
      <c r="D18" s="2">
        <v>1</v>
      </c>
      <c r="E18" s="3">
        <v>500000</v>
      </c>
      <c r="F18" s="4"/>
    </row>
    <row r="19" spans="1:6" ht="20" customHeight="1" x14ac:dyDescent="0.2">
      <c r="A19" s="83"/>
      <c r="B19" s="97"/>
      <c r="C19" s="1" t="s">
        <v>46</v>
      </c>
      <c r="D19" s="2">
        <v>1</v>
      </c>
      <c r="E19" s="3">
        <v>500000</v>
      </c>
      <c r="F19" s="4"/>
    </row>
    <row r="20" spans="1:6" ht="20" customHeight="1" x14ac:dyDescent="0.2">
      <c r="A20" s="83"/>
      <c r="B20" s="97"/>
      <c r="C20" s="1" t="s">
        <v>8</v>
      </c>
      <c r="D20" s="2">
        <v>1</v>
      </c>
      <c r="E20" s="3">
        <v>500000</v>
      </c>
      <c r="F20" s="4"/>
    </row>
    <row r="21" spans="1:6" ht="20" customHeight="1" x14ac:dyDescent="0.2">
      <c r="A21" s="84"/>
      <c r="B21" s="98"/>
      <c r="C21" s="1" t="s">
        <v>29</v>
      </c>
      <c r="D21" s="2">
        <v>1</v>
      </c>
      <c r="E21" s="3">
        <v>500000</v>
      </c>
      <c r="F21" s="4"/>
    </row>
    <row r="22" spans="1:6" ht="20" customHeight="1" x14ac:dyDescent="0.2">
      <c r="A22" s="91"/>
      <c r="B22" s="92"/>
      <c r="C22" s="92"/>
      <c r="D22" s="92"/>
      <c r="E22" s="92"/>
      <c r="F22" s="93"/>
    </row>
    <row r="23" spans="1:6" ht="20" customHeight="1" x14ac:dyDescent="0.2">
      <c r="A23" s="82">
        <v>5</v>
      </c>
      <c r="B23" s="100" t="s">
        <v>39</v>
      </c>
      <c r="C23" s="1" t="s">
        <v>235</v>
      </c>
      <c r="D23" s="2">
        <v>1</v>
      </c>
      <c r="E23" s="3">
        <v>1500000</v>
      </c>
      <c r="F23" s="4"/>
    </row>
    <row r="24" spans="1:6" ht="20" customHeight="1" x14ac:dyDescent="0.2">
      <c r="A24" s="83"/>
      <c r="B24" s="101"/>
      <c r="C24" s="1" t="s">
        <v>236</v>
      </c>
      <c r="D24" s="2">
        <v>1</v>
      </c>
      <c r="E24" s="3">
        <v>700000</v>
      </c>
      <c r="F24" s="4"/>
    </row>
    <row r="25" spans="1:6" ht="20" customHeight="1" x14ac:dyDescent="0.2">
      <c r="A25" s="83"/>
      <c r="B25" s="101"/>
      <c r="C25" s="1" t="s">
        <v>237</v>
      </c>
      <c r="D25" s="2">
        <v>1</v>
      </c>
      <c r="E25" s="3">
        <v>1000000</v>
      </c>
      <c r="F25" s="4"/>
    </row>
    <row r="26" spans="1:6" ht="20" customHeight="1" x14ac:dyDescent="0.2">
      <c r="A26" s="83"/>
      <c r="B26" s="94"/>
      <c r="C26" s="1" t="s">
        <v>238</v>
      </c>
      <c r="D26" s="2">
        <v>1</v>
      </c>
      <c r="E26" s="3">
        <v>800000</v>
      </c>
      <c r="F26" s="4"/>
    </row>
    <row r="27" spans="1:6" ht="20" customHeight="1" x14ac:dyDescent="0.2">
      <c r="A27" s="83"/>
      <c r="B27" s="94"/>
      <c r="C27" s="1" t="s">
        <v>47</v>
      </c>
      <c r="D27" s="2">
        <v>1</v>
      </c>
      <c r="E27" s="3">
        <v>500000</v>
      </c>
      <c r="F27" s="4"/>
    </row>
    <row r="28" spans="1:6" ht="20" customHeight="1" x14ac:dyDescent="0.2">
      <c r="A28" s="83"/>
      <c r="B28" s="94"/>
      <c r="C28" s="1" t="s">
        <v>48</v>
      </c>
      <c r="D28" s="2">
        <v>1</v>
      </c>
      <c r="E28" s="3">
        <v>200000</v>
      </c>
      <c r="F28" s="4"/>
    </row>
    <row r="29" spans="1:6" ht="20" customHeight="1" x14ac:dyDescent="0.2">
      <c r="A29" s="91"/>
      <c r="B29" s="92"/>
      <c r="C29" s="92"/>
      <c r="D29" s="92"/>
      <c r="E29" s="92"/>
      <c r="F29" s="93"/>
    </row>
    <row r="30" spans="1:6" ht="20" customHeight="1" x14ac:dyDescent="0.2">
      <c r="A30" s="82">
        <v>6</v>
      </c>
      <c r="B30" s="102" t="s">
        <v>25</v>
      </c>
      <c r="C30" s="1" t="s">
        <v>239</v>
      </c>
      <c r="D30" s="2">
        <v>1</v>
      </c>
      <c r="E30" s="3">
        <v>2500000</v>
      </c>
      <c r="F30" s="4"/>
    </row>
    <row r="31" spans="1:6" ht="20" customHeight="1" x14ac:dyDescent="0.2">
      <c r="A31" s="83"/>
      <c r="B31" s="103"/>
      <c r="C31" s="1" t="s">
        <v>240</v>
      </c>
      <c r="D31" s="2">
        <v>1</v>
      </c>
      <c r="E31" s="3">
        <v>3000000</v>
      </c>
      <c r="F31" s="4"/>
    </row>
    <row r="32" spans="1:6" ht="20" customHeight="1" x14ac:dyDescent="0.2">
      <c r="A32" s="83"/>
      <c r="B32" s="103"/>
      <c r="C32" s="1" t="s">
        <v>241</v>
      </c>
      <c r="D32" s="2">
        <v>1</v>
      </c>
      <c r="E32" s="3">
        <v>3000000</v>
      </c>
      <c r="F32" s="4"/>
    </row>
    <row r="33" spans="1:6" ht="20" customHeight="1" x14ac:dyDescent="0.2">
      <c r="A33" s="83"/>
      <c r="B33" s="103"/>
      <c r="C33" s="1" t="s">
        <v>242</v>
      </c>
      <c r="D33" s="2">
        <v>1</v>
      </c>
      <c r="E33" s="3">
        <v>550000</v>
      </c>
      <c r="F33" s="4"/>
    </row>
    <row r="34" spans="1:6" ht="20" customHeight="1" x14ac:dyDescent="0.2">
      <c r="A34" s="83"/>
      <c r="B34" s="103"/>
      <c r="C34" s="1" t="s">
        <v>243</v>
      </c>
      <c r="D34" s="2">
        <v>1</v>
      </c>
      <c r="E34" s="3">
        <v>550000</v>
      </c>
      <c r="F34" s="4"/>
    </row>
    <row r="35" spans="1:6" ht="20" customHeight="1" x14ac:dyDescent="0.2">
      <c r="A35" s="83"/>
      <c r="B35" s="103"/>
      <c r="C35" s="1" t="s">
        <v>244</v>
      </c>
      <c r="D35" s="2">
        <v>1</v>
      </c>
      <c r="E35" s="3">
        <v>400000</v>
      </c>
      <c r="F35" s="4"/>
    </row>
    <row r="36" spans="1:6" ht="20" customHeight="1" x14ac:dyDescent="0.2">
      <c r="A36" s="83"/>
      <c r="B36" s="103"/>
      <c r="C36" s="1" t="s">
        <v>245</v>
      </c>
      <c r="D36" s="2">
        <v>1</v>
      </c>
      <c r="E36" s="3">
        <v>950000</v>
      </c>
      <c r="F36" s="4"/>
    </row>
    <row r="37" spans="1:6" ht="20" customHeight="1" x14ac:dyDescent="0.2">
      <c r="A37" s="83"/>
      <c r="B37" s="103"/>
      <c r="C37" s="1" t="s">
        <v>246</v>
      </c>
      <c r="D37" s="2">
        <v>1</v>
      </c>
      <c r="E37" s="3">
        <v>200000</v>
      </c>
      <c r="F37" s="4"/>
    </row>
    <row r="38" spans="1:6" ht="20" customHeight="1" x14ac:dyDescent="0.2">
      <c r="A38" s="83"/>
      <c r="B38" s="103"/>
      <c r="C38" s="1" t="s">
        <v>247</v>
      </c>
      <c r="D38" s="2">
        <v>1</v>
      </c>
      <c r="E38" s="3">
        <v>300000</v>
      </c>
      <c r="F38" s="4"/>
    </row>
    <row r="39" spans="1:6" ht="20" customHeight="1" x14ac:dyDescent="0.2">
      <c r="A39" s="83"/>
      <c r="B39" s="103"/>
      <c r="C39" s="1" t="s">
        <v>248</v>
      </c>
      <c r="D39" s="2">
        <v>1</v>
      </c>
      <c r="E39" s="3">
        <v>400000</v>
      </c>
      <c r="F39" s="4"/>
    </row>
    <row r="40" spans="1:6" ht="20" customHeight="1" x14ac:dyDescent="0.2">
      <c r="A40" s="83"/>
      <c r="B40" s="103"/>
      <c r="C40" s="1" t="s">
        <v>249</v>
      </c>
      <c r="D40" s="2">
        <v>1</v>
      </c>
      <c r="E40" s="3">
        <v>300000</v>
      </c>
      <c r="F40" s="4"/>
    </row>
    <row r="41" spans="1:6" ht="20" customHeight="1" x14ac:dyDescent="0.2">
      <c r="A41" s="83"/>
      <c r="B41" s="103"/>
      <c r="C41" s="1" t="s">
        <v>250</v>
      </c>
      <c r="D41" s="2">
        <v>1</v>
      </c>
      <c r="E41" s="3">
        <v>300000</v>
      </c>
      <c r="F41" s="4"/>
    </row>
    <row r="42" spans="1:6" ht="20" customHeight="1" x14ac:dyDescent="0.2">
      <c r="A42" s="83"/>
      <c r="B42" s="103"/>
      <c r="C42" s="1" t="s">
        <v>251</v>
      </c>
      <c r="D42" s="2">
        <v>1</v>
      </c>
      <c r="E42" s="3">
        <v>300000</v>
      </c>
      <c r="F42" s="4"/>
    </row>
    <row r="43" spans="1:6" ht="20" customHeight="1" x14ac:dyDescent="0.2">
      <c r="A43" s="83"/>
      <c r="B43" s="103"/>
      <c r="C43" s="1" t="s">
        <v>252</v>
      </c>
      <c r="D43" s="2">
        <v>1</v>
      </c>
      <c r="E43" s="3">
        <v>300000</v>
      </c>
      <c r="F43" s="4"/>
    </row>
    <row r="44" spans="1:6" ht="20" customHeight="1" x14ac:dyDescent="0.2">
      <c r="A44" s="83"/>
      <c r="B44" s="103"/>
      <c r="C44" s="1" t="s">
        <v>253</v>
      </c>
      <c r="D44" s="2">
        <v>1</v>
      </c>
      <c r="E44" s="3">
        <v>400000</v>
      </c>
      <c r="F44" s="4"/>
    </row>
    <row r="45" spans="1:6" ht="20" customHeight="1" x14ac:dyDescent="0.2">
      <c r="A45" s="83"/>
      <c r="B45" s="103"/>
      <c r="C45" s="1" t="s">
        <v>254</v>
      </c>
      <c r="D45" s="2">
        <v>1</v>
      </c>
      <c r="E45" s="3">
        <v>500000</v>
      </c>
      <c r="F45" s="4"/>
    </row>
    <row r="46" spans="1:6" ht="20" customHeight="1" x14ac:dyDescent="0.2">
      <c r="A46" s="84"/>
      <c r="B46" s="104"/>
      <c r="C46" s="1" t="s">
        <v>255</v>
      </c>
      <c r="D46" s="2">
        <v>1</v>
      </c>
      <c r="E46" s="3">
        <v>2000000</v>
      </c>
      <c r="F46" s="4"/>
    </row>
    <row r="47" spans="1:6" ht="20" customHeight="1" x14ac:dyDescent="0.2">
      <c r="A47" s="91"/>
      <c r="B47" s="92"/>
      <c r="C47" s="92"/>
      <c r="D47" s="92"/>
      <c r="E47" s="92"/>
      <c r="F47" s="93"/>
    </row>
    <row r="48" spans="1:6" ht="20" customHeight="1" x14ac:dyDescent="0.2">
      <c r="A48" s="108">
        <v>7</v>
      </c>
      <c r="B48" s="105" t="s">
        <v>26</v>
      </c>
      <c r="C48" s="1" t="s">
        <v>256</v>
      </c>
      <c r="D48" s="2">
        <v>1</v>
      </c>
      <c r="E48" s="3">
        <v>700000</v>
      </c>
      <c r="F48" s="4"/>
    </row>
    <row r="49" spans="1:6" ht="20" customHeight="1" x14ac:dyDescent="0.2">
      <c r="A49" s="108"/>
      <c r="B49" s="106"/>
      <c r="C49" s="1" t="s">
        <v>9</v>
      </c>
      <c r="D49" s="2">
        <v>1</v>
      </c>
      <c r="E49" s="3">
        <v>500000</v>
      </c>
      <c r="F49" s="4"/>
    </row>
    <row r="50" spans="1:6" ht="20" customHeight="1" x14ac:dyDescent="0.2">
      <c r="A50" s="108"/>
      <c r="B50" s="106"/>
      <c r="C50" s="1" t="s">
        <v>10</v>
      </c>
      <c r="D50" s="2">
        <v>1</v>
      </c>
      <c r="E50" s="3">
        <v>200000</v>
      </c>
      <c r="F50" s="4"/>
    </row>
    <row r="51" spans="1:6" ht="20" customHeight="1" x14ac:dyDescent="0.2">
      <c r="A51" s="108"/>
      <c r="B51" s="106"/>
      <c r="C51" s="1" t="s">
        <v>11</v>
      </c>
      <c r="D51" s="2">
        <v>1</v>
      </c>
      <c r="E51" s="3">
        <v>1100000</v>
      </c>
      <c r="F51" s="4"/>
    </row>
    <row r="52" spans="1:6" ht="20" customHeight="1" x14ac:dyDescent="0.2">
      <c r="A52" s="108"/>
      <c r="B52" s="106"/>
      <c r="C52" s="1" t="s">
        <v>12</v>
      </c>
      <c r="D52" s="2">
        <v>1</v>
      </c>
      <c r="E52" s="3">
        <v>500000</v>
      </c>
      <c r="F52" s="4"/>
    </row>
    <row r="53" spans="1:6" ht="20" customHeight="1" x14ac:dyDescent="0.2">
      <c r="A53" s="108"/>
      <c r="B53" s="107"/>
      <c r="C53" s="1" t="s">
        <v>13</v>
      </c>
      <c r="D53" s="2">
        <v>1</v>
      </c>
      <c r="E53" s="3">
        <v>400000</v>
      </c>
      <c r="F53" s="4"/>
    </row>
    <row r="54" spans="1:6" ht="20" customHeight="1" x14ac:dyDescent="0.2">
      <c r="A54" s="91"/>
      <c r="B54" s="92"/>
      <c r="C54" s="92"/>
      <c r="D54" s="92"/>
      <c r="E54" s="92"/>
      <c r="F54" s="93"/>
    </row>
    <row r="55" spans="1:6" ht="20" customHeight="1" x14ac:dyDescent="0.2">
      <c r="A55" s="82">
        <v>8</v>
      </c>
      <c r="B55" s="96" t="s">
        <v>233</v>
      </c>
      <c r="C55" s="1" t="s">
        <v>30</v>
      </c>
      <c r="D55" s="2">
        <v>1</v>
      </c>
      <c r="E55" s="3">
        <v>1600000</v>
      </c>
      <c r="F55" s="4"/>
    </row>
    <row r="56" spans="1:6" ht="20" customHeight="1" x14ac:dyDescent="0.2">
      <c r="A56" s="83"/>
      <c r="B56" s="97"/>
      <c r="C56" s="1" t="s">
        <v>31</v>
      </c>
      <c r="D56" s="2">
        <v>1</v>
      </c>
      <c r="E56" s="3">
        <v>2500000</v>
      </c>
      <c r="F56" s="4"/>
    </row>
    <row r="57" spans="1:6" ht="20" customHeight="1" x14ac:dyDescent="0.2">
      <c r="A57" s="83"/>
      <c r="B57" s="97"/>
      <c r="C57" s="1" t="s">
        <v>33</v>
      </c>
      <c r="D57" s="2">
        <v>1</v>
      </c>
      <c r="E57" s="3">
        <v>4200000</v>
      </c>
      <c r="F57" s="4"/>
    </row>
    <row r="58" spans="1:6" ht="20" customHeight="1" x14ac:dyDescent="0.2">
      <c r="A58" s="83"/>
      <c r="B58" s="97"/>
      <c r="C58" s="1" t="s">
        <v>49</v>
      </c>
      <c r="D58" s="2">
        <v>1</v>
      </c>
      <c r="E58" s="3">
        <v>500000</v>
      </c>
      <c r="F58" s="4"/>
    </row>
    <row r="59" spans="1:6" ht="20" customHeight="1" x14ac:dyDescent="0.2">
      <c r="A59" s="83"/>
      <c r="B59" s="97"/>
      <c r="C59" s="1" t="s">
        <v>50</v>
      </c>
      <c r="D59" s="2">
        <v>1</v>
      </c>
      <c r="E59" s="3">
        <v>1100000</v>
      </c>
      <c r="F59" s="4"/>
    </row>
    <row r="60" spans="1:6" ht="20" customHeight="1" x14ac:dyDescent="0.2">
      <c r="A60" s="83"/>
      <c r="B60" s="97"/>
      <c r="C60" s="1" t="s">
        <v>14</v>
      </c>
      <c r="D60" s="2">
        <v>1</v>
      </c>
      <c r="E60" s="3">
        <v>400000</v>
      </c>
      <c r="F60" s="4"/>
    </row>
    <row r="61" spans="1:6" ht="20" customHeight="1" x14ac:dyDescent="0.2">
      <c r="A61" s="83"/>
      <c r="B61" s="97"/>
      <c r="C61" s="1" t="s">
        <v>35</v>
      </c>
      <c r="D61" s="2">
        <v>1</v>
      </c>
      <c r="E61" s="3">
        <v>400000</v>
      </c>
      <c r="F61" s="4"/>
    </row>
    <row r="62" spans="1:6" ht="20" customHeight="1" x14ac:dyDescent="0.2">
      <c r="A62" s="84"/>
      <c r="B62" s="98"/>
      <c r="C62" s="1" t="s">
        <v>51</v>
      </c>
      <c r="D62" s="2">
        <v>1</v>
      </c>
      <c r="E62" s="3">
        <v>2100000</v>
      </c>
      <c r="F62" s="4"/>
    </row>
    <row r="63" spans="1:6" ht="20" customHeight="1" x14ac:dyDescent="0.2">
      <c r="A63" s="91"/>
      <c r="B63" s="92"/>
      <c r="C63" s="92"/>
      <c r="D63" s="92"/>
      <c r="E63" s="92"/>
      <c r="F63" s="93"/>
    </row>
    <row r="64" spans="1:6" ht="20" customHeight="1" x14ac:dyDescent="0.2">
      <c r="A64" s="82">
        <v>9</v>
      </c>
      <c r="B64" s="96" t="s">
        <v>27</v>
      </c>
      <c r="C64" s="1" t="s">
        <v>15</v>
      </c>
      <c r="D64" s="2">
        <v>1</v>
      </c>
      <c r="E64" s="3">
        <v>200000</v>
      </c>
      <c r="F64" s="4"/>
    </row>
    <row r="65" spans="1:6" ht="20" customHeight="1" x14ac:dyDescent="0.2">
      <c r="A65" s="83"/>
      <c r="B65" s="97"/>
      <c r="C65" s="1" t="s">
        <v>16</v>
      </c>
      <c r="D65" s="2">
        <v>1</v>
      </c>
      <c r="E65" s="3">
        <v>500000</v>
      </c>
      <c r="F65" s="4"/>
    </row>
    <row r="66" spans="1:6" ht="20" customHeight="1" x14ac:dyDescent="0.2">
      <c r="A66" s="84"/>
      <c r="B66" s="98"/>
      <c r="C66" s="1" t="s">
        <v>36</v>
      </c>
      <c r="D66" s="2">
        <v>1</v>
      </c>
      <c r="E66" s="3">
        <v>200000</v>
      </c>
      <c r="F66" s="4"/>
    </row>
    <row r="67" spans="1:6" ht="20" customHeight="1" x14ac:dyDescent="0.2">
      <c r="A67" s="91"/>
      <c r="B67" s="92"/>
      <c r="C67" s="92"/>
      <c r="D67" s="92"/>
      <c r="E67" s="92"/>
      <c r="F67" s="93"/>
    </row>
    <row r="68" spans="1:6" ht="20" customHeight="1" x14ac:dyDescent="0.2">
      <c r="A68" s="82">
        <v>10</v>
      </c>
      <c r="B68" s="99" t="s">
        <v>28</v>
      </c>
      <c r="C68" s="1" t="s">
        <v>37</v>
      </c>
      <c r="D68" s="2">
        <v>1</v>
      </c>
      <c r="E68" s="3">
        <v>1000000</v>
      </c>
      <c r="F68" s="4"/>
    </row>
    <row r="69" spans="1:6" ht="20" customHeight="1" x14ac:dyDescent="0.2">
      <c r="A69" s="83"/>
      <c r="B69" s="99"/>
      <c r="C69" s="1" t="s">
        <v>52</v>
      </c>
      <c r="D69" s="2">
        <v>1</v>
      </c>
      <c r="E69" s="3">
        <v>100000</v>
      </c>
      <c r="F69" s="4"/>
    </row>
    <row r="70" spans="1:6" ht="20" customHeight="1" x14ac:dyDescent="0.2">
      <c r="A70" s="83"/>
      <c r="B70" s="99"/>
      <c r="C70" s="1" t="s">
        <v>53</v>
      </c>
      <c r="D70" s="2">
        <v>1</v>
      </c>
      <c r="E70" s="3">
        <v>100000</v>
      </c>
      <c r="F70" s="4"/>
    </row>
    <row r="71" spans="1:6" ht="20" customHeight="1" x14ac:dyDescent="0.2">
      <c r="A71" s="83"/>
      <c r="B71" s="99"/>
      <c r="C71" s="1" t="s">
        <v>54</v>
      </c>
      <c r="D71" s="2">
        <v>1</v>
      </c>
      <c r="E71" s="3">
        <v>100000</v>
      </c>
      <c r="F71" s="4"/>
    </row>
    <row r="72" spans="1:6" ht="20" customHeight="1" x14ac:dyDescent="0.2">
      <c r="A72" s="83"/>
      <c r="B72" s="99"/>
      <c r="C72" s="1" t="s">
        <v>55</v>
      </c>
      <c r="D72" s="2">
        <v>1</v>
      </c>
      <c r="E72" s="3">
        <v>100000</v>
      </c>
      <c r="F72" s="4"/>
    </row>
    <row r="73" spans="1:6" ht="20" customHeight="1" x14ac:dyDescent="0.2">
      <c r="A73" s="83"/>
      <c r="B73" s="99"/>
      <c r="C73" s="1" t="s">
        <v>56</v>
      </c>
      <c r="D73" s="2">
        <v>1</v>
      </c>
      <c r="E73" s="3">
        <v>100000</v>
      </c>
      <c r="F73" s="4"/>
    </row>
    <row r="74" spans="1:6" ht="20" customHeight="1" x14ac:dyDescent="0.2">
      <c r="A74" s="83"/>
      <c r="B74" s="99"/>
      <c r="C74" s="1" t="s">
        <v>62</v>
      </c>
      <c r="D74" s="2">
        <v>1</v>
      </c>
      <c r="E74" s="3">
        <v>1000000</v>
      </c>
      <c r="F74" s="4"/>
    </row>
    <row r="75" spans="1:6" ht="20" customHeight="1" x14ac:dyDescent="0.2">
      <c r="A75" s="83"/>
      <c r="B75" s="99"/>
      <c r="C75" s="1" t="s">
        <v>17</v>
      </c>
      <c r="D75" s="2">
        <v>1</v>
      </c>
      <c r="E75" s="3">
        <v>100000</v>
      </c>
      <c r="F75" s="4"/>
    </row>
    <row r="76" spans="1:6" ht="20" customHeight="1" x14ac:dyDescent="0.2">
      <c r="A76" s="83"/>
      <c r="B76" s="99"/>
      <c r="C76" s="1" t="s">
        <v>18</v>
      </c>
      <c r="D76" s="2">
        <v>1</v>
      </c>
      <c r="E76" s="3">
        <v>100000</v>
      </c>
      <c r="F76" s="4"/>
    </row>
    <row r="77" spans="1:6" ht="20" customHeight="1" x14ac:dyDescent="0.2">
      <c r="A77" s="83"/>
      <c r="B77" s="99"/>
      <c r="C77" s="1" t="s">
        <v>19</v>
      </c>
      <c r="D77" s="2">
        <v>1</v>
      </c>
      <c r="E77" s="3">
        <v>100000</v>
      </c>
      <c r="F77" s="4"/>
    </row>
    <row r="78" spans="1:6" ht="20" customHeight="1" x14ac:dyDescent="0.2">
      <c r="A78" s="83"/>
      <c r="B78" s="99"/>
      <c r="C78" s="1" t="s">
        <v>57</v>
      </c>
      <c r="D78" s="2">
        <v>1</v>
      </c>
      <c r="E78" s="3">
        <v>100000</v>
      </c>
      <c r="F78" s="4"/>
    </row>
    <row r="79" spans="1:6" ht="20" customHeight="1" x14ac:dyDescent="0.2">
      <c r="A79" s="83"/>
      <c r="B79" s="99"/>
      <c r="C79" s="1" t="s">
        <v>58</v>
      </c>
      <c r="D79" s="2">
        <v>1</v>
      </c>
      <c r="E79" s="3">
        <v>100000</v>
      </c>
      <c r="F79" s="4"/>
    </row>
    <row r="80" spans="1:6" ht="20" customHeight="1" x14ac:dyDescent="0.2">
      <c r="A80" s="83"/>
      <c r="B80" s="99"/>
      <c r="C80" s="1" t="s">
        <v>59</v>
      </c>
      <c r="D80" s="2">
        <v>1</v>
      </c>
      <c r="E80" s="3">
        <v>100000</v>
      </c>
      <c r="F80" s="4"/>
    </row>
    <row r="81" spans="1:6" ht="20" customHeight="1" x14ac:dyDescent="0.2">
      <c r="A81" s="83"/>
      <c r="B81" s="99"/>
      <c r="C81" s="1" t="s">
        <v>20</v>
      </c>
      <c r="D81" s="2">
        <v>1</v>
      </c>
      <c r="E81" s="3">
        <v>100000</v>
      </c>
      <c r="F81" s="4"/>
    </row>
    <row r="82" spans="1:6" ht="20" customHeight="1" x14ac:dyDescent="0.2">
      <c r="A82" s="83"/>
      <c r="B82" s="99"/>
      <c r="C82" s="1" t="s">
        <v>21</v>
      </c>
      <c r="D82" s="2">
        <v>1</v>
      </c>
      <c r="E82" s="3">
        <v>100000</v>
      </c>
      <c r="F82" s="4"/>
    </row>
    <row r="83" spans="1:6" ht="20" customHeight="1" x14ac:dyDescent="0.2">
      <c r="A83" s="83"/>
      <c r="B83" s="99"/>
      <c r="C83" s="1" t="s">
        <v>60</v>
      </c>
      <c r="D83" s="2">
        <v>1</v>
      </c>
      <c r="E83" s="3">
        <v>100000</v>
      </c>
      <c r="F83" s="4"/>
    </row>
    <row r="84" spans="1:6" ht="20" customHeight="1" x14ac:dyDescent="0.2">
      <c r="A84" s="83"/>
      <c r="B84" s="99"/>
      <c r="C84" s="1" t="s">
        <v>61</v>
      </c>
      <c r="D84" s="2">
        <v>1</v>
      </c>
      <c r="E84" s="3">
        <v>100000</v>
      </c>
      <c r="F84" s="4"/>
    </row>
    <row r="85" spans="1:6" ht="20" customHeight="1" x14ac:dyDescent="0.2">
      <c r="A85" s="84"/>
      <c r="B85" s="99"/>
      <c r="C85" s="1" t="s">
        <v>63</v>
      </c>
      <c r="D85" s="2">
        <v>1</v>
      </c>
      <c r="E85" s="3">
        <v>300000</v>
      </c>
      <c r="F85" s="4"/>
    </row>
    <row r="86" spans="1:6" ht="20" customHeight="1" x14ac:dyDescent="0.2">
      <c r="A86" s="79"/>
      <c r="B86" s="80"/>
      <c r="C86" s="80"/>
      <c r="D86" s="80"/>
      <c r="E86" s="80"/>
      <c r="F86" s="81"/>
    </row>
  </sheetData>
  <mergeCells count="28">
    <mergeCell ref="B68:B85"/>
    <mergeCell ref="A68:A85"/>
    <mergeCell ref="B23:B28"/>
    <mergeCell ref="A30:A46"/>
    <mergeCell ref="B30:B46"/>
    <mergeCell ref="B48:B53"/>
    <mergeCell ref="A48:A53"/>
    <mergeCell ref="B55:B62"/>
    <mergeCell ref="A55:A62"/>
    <mergeCell ref="A64:A66"/>
    <mergeCell ref="B64:B66"/>
    <mergeCell ref="A67:F67"/>
    <mergeCell ref="A86:F86"/>
    <mergeCell ref="A3:A7"/>
    <mergeCell ref="B3:B7"/>
    <mergeCell ref="A1:F1"/>
    <mergeCell ref="A8:F8"/>
    <mergeCell ref="A9:A12"/>
    <mergeCell ref="B9:B12"/>
    <mergeCell ref="A14:A21"/>
    <mergeCell ref="B14:B21"/>
    <mergeCell ref="A13:F13"/>
    <mergeCell ref="A22:F22"/>
    <mergeCell ref="A29:F29"/>
    <mergeCell ref="A47:F47"/>
    <mergeCell ref="A54:F54"/>
    <mergeCell ref="A63:F63"/>
    <mergeCell ref="A23:A28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6CED-0ECC-9A45-8D96-044464E40354}">
  <dimension ref="A1:F65"/>
  <sheetViews>
    <sheetView topLeftCell="A45" zoomScale="150" zoomScaleNormal="150" workbookViewId="0">
      <selection activeCell="C70" sqref="C70"/>
    </sheetView>
  </sheetViews>
  <sheetFormatPr baseColWidth="10" defaultRowHeight="16" x14ac:dyDescent="0.2"/>
  <cols>
    <col min="1" max="1" width="5" bestFit="1" customWidth="1"/>
    <col min="2" max="2" width="48.5" customWidth="1"/>
    <col min="3" max="3" width="8.1640625" bestFit="1" customWidth="1"/>
    <col min="6" max="6" width="22.83203125" bestFit="1" customWidth="1"/>
  </cols>
  <sheetData>
    <row r="1" spans="1:6" s="12" customFormat="1" ht="20" customHeight="1" x14ac:dyDescent="0.2">
      <c r="A1" s="126" t="s">
        <v>234</v>
      </c>
      <c r="B1" s="126"/>
      <c r="C1" s="126"/>
      <c r="D1" s="126"/>
      <c r="E1" s="126"/>
      <c r="F1" s="126"/>
    </row>
    <row r="2" spans="1:6" s="28" customFormat="1" ht="20" customHeight="1" x14ac:dyDescent="0.2">
      <c r="A2" s="13" t="s">
        <v>1</v>
      </c>
      <c r="B2" s="13" t="s">
        <v>64</v>
      </c>
      <c r="C2" s="14" t="s">
        <v>65</v>
      </c>
      <c r="D2" s="13" t="s">
        <v>66</v>
      </c>
      <c r="E2" s="13" t="s">
        <v>67</v>
      </c>
      <c r="F2" s="13" t="s">
        <v>68</v>
      </c>
    </row>
    <row r="3" spans="1:6" s="28" customFormat="1" ht="20" customHeight="1" x14ac:dyDescent="0.2">
      <c r="A3" s="17" t="s">
        <v>69</v>
      </c>
      <c r="B3" s="109" t="s">
        <v>70</v>
      </c>
      <c r="C3" s="110"/>
      <c r="D3" s="111"/>
      <c r="E3" s="18"/>
      <c r="F3" s="19"/>
    </row>
    <row r="4" spans="1:6" s="28" customFormat="1" ht="20" customHeight="1" x14ac:dyDescent="0.2">
      <c r="A4" s="112">
        <v>1</v>
      </c>
      <c r="B4" s="21" t="s">
        <v>71</v>
      </c>
      <c r="C4" s="113">
        <v>1</v>
      </c>
      <c r="D4" s="114">
        <v>7000000</v>
      </c>
      <c r="E4" s="118">
        <f>D4*C4</f>
        <v>7000000</v>
      </c>
      <c r="F4" s="122"/>
    </row>
    <row r="5" spans="1:6" s="28" customFormat="1" ht="20" customHeight="1" x14ac:dyDescent="0.2">
      <c r="A5" s="112"/>
      <c r="B5" s="29" t="s">
        <v>72</v>
      </c>
      <c r="C5" s="113"/>
      <c r="D5" s="114"/>
      <c r="E5" s="118"/>
      <c r="F5" s="120"/>
    </row>
    <row r="6" spans="1:6" s="28" customFormat="1" ht="20" customHeight="1" x14ac:dyDescent="0.2">
      <c r="A6" s="112"/>
      <c r="B6" s="23" t="s">
        <v>73</v>
      </c>
      <c r="C6" s="113"/>
      <c r="D6" s="114"/>
      <c r="E6" s="118"/>
      <c r="F6" s="120"/>
    </row>
    <row r="7" spans="1:6" s="28" customFormat="1" ht="20" customHeight="1" x14ac:dyDescent="0.2">
      <c r="A7" s="112"/>
      <c r="B7" s="30" t="s">
        <v>74</v>
      </c>
      <c r="C7" s="113"/>
      <c r="D7" s="114"/>
      <c r="E7" s="118"/>
      <c r="F7" s="120"/>
    </row>
    <row r="8" spans="1:6" s="28" customFormat="1" ht="20" customHeight="1" x14ac:dyDescent="0.2">
      <c r="A8" s="112"/>
      <c r="B8" s="30" t="s">
        <v>75</v>
      </c>
      <c r="C8" s="113"/>
      <c r="D8" s="114"/>
      <c r="E8" s="118"/>
      <c r="F8" s="120"/>
    </row>
    <row r="9" spans="1:6" s="28" customFormat="1" ht="20" customHeight="1" x14ac:dyDescent="0.2">
      <c r="A9" s="112"/>
      <c r="B9" s="30" t="s">
        <v>76</v>
      </c>
      <c r="C9" s="113"/>
      <c r="D9" s="114"/>
      <c r="E9" s="118"/>
      <c r="F9" s="120"/>
    </row>
    <row r="10" spans="1:6" s="28" customFormat="1" ht="20" customHeight="1" x14ac:dyDescent="0.2">
      <c r="A10" s="112"/>
      <c r="B10" s="30" t="s">
        <v>77</v>
      </c>
      <c r="C10" s="113"/>
      <c r="D10" s="114"/>
      <c r="E10" s="118"/>
      <c r="F10" s="120"/>
    </row>
    <row r="11" spans="1:6" s="28" customFormat="1" ht="20" customHeight="1" x14ac:dyDescent="0.2">
      <c r="A11" s="112"/>
      <c r="B11" s="30" t="s">
        <v>78</v>
      </c>
      <c r="C11" s="113"/>
      <c r="D11" s="114"/>
      <c r="E11" s="118"/>
      <c r="F11" s="120"/>
    </row>
    <row r="12" spans="1:6" s="28" customFormat="1" ht="20" customHeight="1" x14ac:dyDescent="0.2">
      <c r="A12" s="20">
        <v>2</v>
      </c>
      <c r="B12" s="23" t="s">
        <v>95</v>
      </c>
      <c r="C12" s="22">
        <v>1</v>
      </c>
      <c r="D12" s="24">
        <f>D4/2</f>
        <v>3500000</v>
      </c>
      <c r="E12" s="24">
        <f>D12*C12</f>
        <v>3500000</v>
      </c>
      <c r="F12" s="119" t="s">
        <v>79</v>
      </c>
    </row>
    <row r="13" spans="1:6" s="28" customFormat="1" ht="20" customHeight="1" x14ac:dyDescent="0.2">
      <c r="A13" s="20">
        <v>3</v>
      </c>
      <c r="B13" s="23" t="s">
        <v>87</v>
      </c>
      <c r="C13" s="22">
        <v>1</v>
      </c>
      <c r="D13" s="24">
        <f>D4/2</f>
        <v>3500000</v>
      </c>
      <c r="E13" s="24">
        <f t="shared" ref="E13:E14" si="0">D13*C13</f>
        <v>3500000</v>
      </c>
      <c r="F13" s="119"/>
    </row>
    <row r="14" spans="1:6" s="28" customFormat="1" ht="20" customHeight="1" x14ac:dyDescent="0.2">
      <c r="A14" s="20">
        <v>4</v>
      </c>
      <c r="B14" s="23" t="s">
        <v>80</v>
      </c>
      <c r="C14" s="22">
        <v>1</v>
      </c>
      <c r="D14" s="24">
        <f>D4/2</f>
        <v>3500000</v>
      </c>
      <c r="E14" s="24">
        <f t="shared" si="0"/>
        <v>3500000</v>
      </c>
      <c r="F14" s="119"/>
    </row>
    <row r="15" spans="1:6" s="28" customFormat="1" ht="20" customHeight="1" x14ac:dyDescent="0.2">
      <c r="A15" s="17" t="s">
        <v>81</v>
      </c>
      <c r="B15" s="109" t="s">
        <v>82</v>
      </c>
      <c r="C15" s="110"/>
      <c r="D15" s="111"/>
      <c r="E15" s="18"/>
      <c r="F15" s="19"/>
    </row>
    <row r="16" spans="1:6" s="28" customFormat="1" ht="20" customHeight="1" x14ac:dyDescent="0.2">
      <c r="A16" s="112">
        <v>1</v>
      </c>
      <c r="B16" s="21" t="s">
        <v>83</v>
      </c>
      <c r="C16" s="113">
        <v>1</v>
      </c>
      <c r="D16" s="118">
        <v>15000000</v>
      </c>
      <c r="E16" s="118">
        <f>D16*C16</f>
        <v>15000000</v>
      </c>
      <c r="F16" s="119"/>
    </row>
    <row r="17" spans="1:6" s="28" customFormat="1" ht="20" customHeight="1" x14ac:dyDescent="0.2">
      <c r="A17" s="112"/>
      <c r="B17" s="29" t="s">
        <v>84</v>
      </c>
      <c r="C17" s="113"/>
      <c r="D17" s="118"/>
      <c r="E17" s="118"/>
      <c r="F17" s="119"/>
    </row>
    <row r="18" spans="1:6" s="28" customFormat="1" ht="20" customHeight="1" x14ac:dyDescent="0.2">
      <c r="A18" s="112"/>
      <c r="B18" s="23" t="s">
        <v>85</v>
      </c>
      <c r="C18" s="113"/>
      <c r="D18" s="118"/>
      <c r="E18" s="118"/>
      <c r="F18" s="119"/>
    </row>
    <row r="19" spans="1:6" s="28" customFormat="1" ht="20" customHeight="1" x14ac:dyDescent="0.2">
      <c r="A19" s="112"/>
      <c r="B19" s="30" t="s">
        <v>74</v>
      </c>
      <c r="C19" s="113"/>
      <c r="D19" s="118"/>
      <c r="E19" s="118"/>
      <c r="F19" s="119"/>
    </row>
    <row r="20" spans="1:6" s="28" customFormat="1" ht="20" customHeight="1" x14ac:dyDescent="0.2">
      <c r="A20" s="112"/>
      <c r="B20" s="30" t="s">
        <v>75</v>
      </c>
      <c r="C20" s="113"/>
      <c r="D20" s="118"/>
      <c r="E20" s="118"/>
      <c r="F20" s="119"/>
    </row>
    <row r="21" spans="1:6" s="28" customFormat="1" ht="20" customHeight="1" x14ac:dyDescent="0.2">
      <c r="A21" s="112"/>
      <c r="B21" s="30" t="s">
        <v>76</v>
      </c>
      <c r="C21" s="113"/>
      <c r="D21" s="118"/>
      <c r="E21" s="118"/>
      <c r="F21" s="119"/>
    </row>
    <row r="22" spans="1:6" s="28" customFormat="1" ht="20" customHeight="1" x14ac:dyDescent="0.2">
      <c r="A22" s="112"/>
      <c r="B22" s="30" t="s">
        <v>77</v>
      </c>
      <c r="C22" s="113"/>
      <c r="D22" s="118"/>
      <c r="E22" s="118"/>
      <c r="F22" s="119"/>
    </row>
    <row r="23" spans="1:6" s="28" customFormat="1" ht="20" customHeight="1" x14ac:dyDescent="0.2">
      <c r="A23" s="112"/>
      <c r="B23" s="30" t="s">
        <v>78</v>
      </c>
      <c r="C23" s="113"/>
      <c r="D23" s="118"/>
      <c r="E23" s="118"/>
      <c r="F23" s="119"/>
    </row>
    <row r="24" spans="1:6" s="28" customFormat="1" ht="20" customHeight="1" x14ac:dyDescent="0.2">
      <c r="A24" s="20">
        <v>2</v>
      </c>
      <c r="B24" s="23" t="s">
        <v>95</v>
      </c>
      <c r="C24" s="22">
        <v>1</v>
      </c>
      <c r="D24" s="24">
        <f>D16/2</f>
        <v>7500000</v>
      </c>
      <c r="E24" s="24">
        <f>D24*C24</f>
        <v>7500000</v>
      </c>
      <c r="F24" s="120" t="s">
        <v>79</v>
      </c>
    </row>
    <row r="25" spans="1:6" s="28" customFormat="1" ht="20" customHeight="1" x14ac:dyDescent="0.2">
      <c r="A25" s="20">
        <v>3</v>
      </c>
      <c r="B25" s="23" t="s">
        <v>87</v>
      </c>
      <c r="C25" s="22">
        <v>1</v>
      </c>
      <c r="D25" s="24">
        <f>D16/2</f>
        <v>7500000</v>
      </c>
      <c r="E25" s="24">
        <f t="shared" ref="E25:E26" si="1">D25*C25</f>
        <v>7500000</v>
      </c>
      <c r="F25" s="120"/>
    </row>
    <row r="26" spans="1:6" s="28" customFormat="1" ht="20" customHeight="1" x14ac:dyDescent="0.2">
      <c r="A26" s="20">
        <v>4</v>
      </c>
      <c r="B26" s="23" t="s">
        <v>80</v>
      </c>
      <c r="C26" s="22">
        <v>1</v>
      </c>
      <c r="D26" s="24">
        <f>D16/2</f>
        <v>7500000</v>
      </c>
      <c r="E26" s="24">
        <f t="shared" si="1"/>
        <v>7500000</v>
      </c>
      <c r="F26" s="121"/>
    </row>
    <row r="27" spans="1:6" s="28" customFormat="1" ht="20" customHeight="1" x14ac:dyDescent="0.2">
      <c r="A27" s="17" t="s">
        <v>88</v>
      </c>
      <c r="B27" s="109" t="s">
        <v>89</v>
      </c>
      <c r="C27" s="110"/>
      <c r="D27" s="111"/>
      <c r="E27" s="18"/>
      <c r="F27" s="19"/>
    </row>
    <row r="28" spans="1:6" s="28" customFormat="1" ht="20" customHeight="1" x14ac:dyDescent="0.2">
      <c r="A28" s="112">
        <v>1</v>
      </c>
      <c r="B28" s="21" t="s">
        <v>90</v>
      </c>
      <c r="C28" s="113">
        <v>1</v>
      </c>
      <c r="D28" s="118">
        <v>10000000</v>
      </c>
      <c r="E28" s="118">
        <f>D28*C28</f>
        <v>10000000</v>
      </c>
      <c r="F28" s="119"/>
    </row>
    <row r="29" spans="1:6" s="28" customFormat="1" ht="20" customHeight="1" x14ac:dyDescent="0.2">
      <c r="A29" s="112"/>
      <c r="B29" s="29" t="s">
        <v>91</v>
      </c>
      <c r="C29" s="113"/>
      <c r="D29" s="118"/>
      <c r="E29" s="118"/>
      <c r="F29" s="119"/>
    </row>
    <row r="30" spans="1:6" s="28" customFormat="1" ht="20" customHeight="1" x14ac:dyDescent="0.2">
      <c r="A30" s="112"/>
      <c r="B30" s="23" t="s">
        <v>92</v>
      </c>
      <c r="C30" s="113"/>
      <c r="D30" s="118"/>
      <c r="E30" s="118"/>
      <c r="F30" s="119"/>
    </row>
    <row r="31" spans="1:6" s="28" customFormat="1" ht="20" customHeight="1" x14ac:dyDescent="0.2">
      <c r="A31" s="112"/>
      <c r="B31" s="30" t="s">
        <v>74</v>
      </c>
      <c r="C31" s="113"/>
      <c r="D31" s="118"/>
      <c r="E31" s="118"/>
      <c r="F31" s="119"/>
    </row>
    <row r="32" spans="1:6" s="28" customFormat="1" ht="20" customHeight="1" x14ac:dyDescent="0.2">
      <c r="A32" s="112"/>
      <c r="B32" s="30" t="s">
        <v>75</v>
      </c>
      <c r="C32" s="113"/>
      <c r="D32" s="118"/>
      <c r="E32" s="118"/>
      <c r="F32" s="119"/>
    </row>
    <row r="33" spans="1:6" s="28" customFormat="1" ht="20" customHeight="1" x14ac:dyDescent="0.2">
      <c r="A33" s="112"/>
      <c r="B33" s="30" t="s">
        <v>76</v>
      </c>
      <c r="C33" s="113"/>
      <c r="D33" s="118"/>
      <c r="E33" s="118"/>
      <c r="F33" s="119"/>
    </row>
    <row r="34" spans="1:6" s="28" customFormat="1" ht="20" customHeight="1" x14ac:dyDescent="0.2">
      <c r="A34" s="112"/>
      <c r="B34" s="30" t="s">
        <v>77</v>
      </c>
      <c r="C34" s="113"/>
      <c r="D34" s="118"/>
      <c r="E34" s="118"/>
      <c r="F34" s="119"/>
    </row>
    <row r="35" spans="1:6" s="28" customFormat="1" ht="20" customHeight="1" x14ac:dyDescent="0.2">
      <c r="A35" s="112"/>
      <c r="B35" s="30" t="s">
        <v>78</v>
      </c>
      <c r="C35" s="113"/>
      <c r="D35" s="118"/>
      <c r="E35" s="118"/>
      <c r="F35" s="119"/>
    </row>
    <row r="36" spans="1:6" s="28" customFormat="1" ht="20" customHeight="1" x14ac:dyDescent="0.2">
      <c r="A36" s="20">
        <v>2</v>
      </c>
      <c r="B36" s="23" t="s">
        <v>95</v>
      </c>
      <c r="C36" s="22">
        <v>1</v>
      </c>
      <c r="D36" s="24">
        <f>D28/2</f>
        <v>5000000</v>
      </c>
      <c r="E36" s="24">
        <f>D36*C36</f>
        <v>5000000</v>
      </c>
      <c r="F36" s="120" t="s">
        <v>79</v>
      </c>
    </row>
    <row r="37" spans="1:6" s="28" customFormat="1" ht="20" customHeight="1" x14ac:dyDescent="0.2">
      <c r="A37" s="20">
        <v>3</v>
      </c>
      <c r="B37" s="23" t="s">
        <v>87</v>
      </c>
      <c r="C37" s="22">
        <v>1</v>
      </c>
      <c r="D37" s="24">
        <f>D28/2</f>
        <v>5000000</v>
      </c>
      <c r="E37" s="24">
        <f t="shared" ref="E37:E38" si="2">D37*C37</f>
        <v>5000000</v>
      </c>
      <c r="F37" s="120"/>
    </row>
    <row r="38" spans="1:6" s="28" customFormat="1" ht="20" customHeight="1" x14ac:dyDescent="0.2">
      <c r="A38" s="20">
        <v>4</v>
      </c>
      <c r="B38" s="23" t="s">
        <v>80</v>
      </c>
      <c r="C38" s="22">
        <v>1</v>
      </c>
      <c r="D38" s="24">
        <f>D28/2</f>
        <v>5000000</v>
      </c>
      <c r="E38" s="24">
        <f t="shared" si="2"/>
        <v>5000000</v>
      </c>
      <c r="F38" s="121"/>
    </row>
    <row r="39" spans="1:6" s="28" customFormat="1" ht="20" customHeight="1" x14ac:dyDescent="0.2">
      <c r="A39" s="17" t="s">
        <v>86</v>
      </c>
      <c r="B39" s="109" t="s">
        <v>96</v>
      </c>
      <c r="C39" s="110"/>
      <c r="D39" s="111"/>
      <c r="E39" s="18"/>
      <c r="F39" s="19"/>
    </row>
    <row r="40" spans="1:6" s="28" customFormat="1" ht="20" customHeight="1" x14ac:dyDescent="0.2">
      <c r="A40" s="112">
        <v>1</v>
      </c>
      <c r="B40" s="21" t="s">
        <v>93</v>
      </c>
      <c r="C40" s="113">
        <v>1</v>
      </c>
      <c r="D40" s="118">
        <v>5000000</v>
      </c>
      <c r="E40" s="118">
        <f>D40*C40</f>
        <v>5000000</v>
      </c>
      <c r="F40" s="119"/>
    </row>
    <row r="41" spans="1:6" s="28" customFormat="1" ht="20" customHeight="1" x14ac:dyDescent="0.2">
      <c r="A41" s="112"/>
      <c r="B41" s="29" t="s">
        <v>97</v>
      </c>
      <c r="C41" s="113"/>
      <c r="D41" s="118"/>
      <c r="E41" s="118"/>
      <c r="F41" s="119"/>
    </row>
    <row r="42" spans="1:6" s="28" customFormat="1" ht="20" customHeight="1" x14ac:dyDescent="0.2">
      <c r="A42" s="112"/>
      <c r="B42" s="23" t="s">
        <v>98</v>
      </c>
      <c r="C42" s="113"/>
      <c r="D42" s="118"/>
      <c r="E42" s="118"/>
      <c r="F42" s="119"/>
    </row>
    <row r="43" spans="1:6" s="28" customFormat="1" ht="20" customHeight="1" x14ac:dyDescent="0.2">
      <c r="A43" s="112"/>
      <c r="B43" s="30" t="s">
        <v>99</v>
      </c>
      <c r="C43" s="113"/>
      <c r="D43" s="118"/>
      <c r="E43" s="118"/>
      <c r="F43" s="119"/>
    </row>
    <row r="44" spans="1:6" s="28" customFormat="1" ht="20" customHeight="1" x14ac:dyDescent="0.2">
      <c r="A44" s="112"/>
      <c r="B44" s="30" t="s">
        <v>75</v>
      </c>
      <c r="C44" s="113"/>
      <c r="D44" s="118"/>
      <c r="E44" s="118"/>
      <c r="F44" s="119"/>
    </row>
    <row r="45" spans="1:6" s="28" customFormat="1" ht="20" customHeight="1" x14ac:dyDescent="0.2">
      <c r="A45" s="112"/>
      <c r="B45" s="30" t="s">
        <v>76</v>
      </c>
      <c r="C45" s="113"/>
      <c r="D45" s="118"/>
      <c r="E45" s="118"/>
      <c r="F45" s="119"/>
    </row>
    <row r="46" spans="1:6" s="28" customFormat="1" ht="20" customHeight="1" x14ac:dyDescent="0.2">
      <c r="A46" s="112"/>
      <c r="B46" s="30" t="s">
        <v>77</v>
      </c>
      <c r="C46" s="113"/>
      <c r="D46" s="118"/>
      <c r="E46" s="118"/>
      <c r="F46" s="119"/>
    </row>
    <row r="47" spans="1:6" s="28" customFormat="1" ht="20" customHeight="1" x14ac:dyDescent="0.2">
      <c r="A47" s="112"/>
      <c r="B47" s="30" t="s">
        <v>78</v>
      </c>
      <c r="C47" s="113"/>
      <c r="D47" s="118"/>
      <c r="E47" s="118"/>
      <c r="F47" s="119"/>
    </row>
    <row r="48" spans="1:6" s="28" customFormat="1" ht="20" customHeight="1" x14ac:dyDescent="0.2">
      <c r="A48" s="20">
        <v>2</v>
      </c>
      <c r="B48" s="23" t="s">
        <v>95</v>
      </c>
      <c r="C48" s="22">
        <v>1</v>
      </c>
      <c r="D48" s="24">
        <f>D40/2</f>
        <v>2500000</v>
      </c>
      <c r="E48" s="24">
        <f>D48*C48</f>
        <v>2500000</v>
      </c>
      <c r="F48" s="120" t="s">
        <v>79</v>
      </c>
    </row>
    <row r="49" spans="1:6" s="28" customFormat="1" ht="20" customHeight="1" x14ac:dyDescent="0.2">
      <c r="A49" s="20">
        <v>3</v>
      </c>
      <c r="B49" s="23" t="s">
        <v>87</v>
      </c>
      <c r="C49" s="22">
        <v>1</v>
      </c>
      <c r="D49" s="24">
        <f>D40/2</f>
        <v>2500000</v>
      </c>
      <c r="E49" s="24">
        <f t="shared" ref="E49:E50" si="3">D49*C49</f>
        <v>2500000</v>
      </c>
      <c r="F49" s="120"/>
    </row>
    <row r="50" spans="1:6" s="28" customFormat="1" ht="20" customHeight="1" x14ac:dyDescent="0.2">
      <c r="A50" s="20">
        <v>4</v>
      </c>
      <c r="B50" s="23" t="s">
        <v>80</v>
      </c>
      <c r="C50" s="22">
        <v>1</v>
      </c>
      <c r="D50" s="24">
        <f>D40/2</f>
        <v>2500000</v>
      </c>
      <c r="E50" s="24">
        <f t="shared" si="3"/>
        <v>2500000</v>
      </c>
      <c r="F50" s="121"/>
    </row>
    <row r="51" spans="1:6" s="28" customFormat="1" ht="20" customHeight="1" x14ac:dyDescent="0.2">
      <c r="A51" s="17" t="s">
        <v>94</v>
      </c>
      <c r="B51" s="109" t="s">
        <v>100</v>
      </c>
      <c r="C51" s="110"/>
      <c r="D51" s="111"/>
      <c r="E51" s="18"/>
      <c r="F51" s="19"/>
    </row>
    <row r="52" spans="1:6" s="28" customFormat="1" ht="20" customHeight="1" x14ac:dyDescent="0.2">
      <c r="A52" s="112">
        <v>1</v>
      </c>
      <c r="B52" s="21" t="s">
        <v>101</v>
      </c>
      <c r="C52" s="113">
        <v>1</v>
      </c>
      <c r="D52" s="118">
        <v>2000000</v>
      </c>
      <c r="E52" s="118">
        <f>D52*C52</f>
        <v>2000000</v>
      </c>
      <c r="F52" s="119"/>
    </row>
    <row r="53" spans="1:6" s="28" customFormat="1" ht="20" customHeight="1" x14ac:dyDescent="0.2">
      <c r="A53" s="112"/>
      <c r="B53" s="29" t="s">
        <v>102</v>
      </c>
      <c r="C53" s="113"/>
      <c r="D53" s="118"/>
      <c r="E53" s="118"/>
      <c r="F53" s="119"/>
    </row>
    <row r="54" spans="1:6" s="28" customFormat="1" ht="20" customHeight="1" x14ac:dyDescent="0.2">
      <c r="A54" s="112"/>
      <c r="B54" s="23" t="s">
        <v>103</v>
      </c>
      <c r="C54" s="113"/>
      <c r="D54" s="118"/>
      <c r="E54" s="118"/>
      <c r="F54" s="119"/>
    </row>
    <row r="55" spans="1:6" s="28" customFormat="1" ht="20" customHeight="1" x14ac:dyDescent="0.2">
      <c r="A55" s="112"/>
      <c r="B55" s="30" t="s">
        <v>104</v>
      </c>
      <c r="C55" s="113"/>
      <c r="D55" s="118"/>
      <c r="E55" s="118"/>
      <c r="F55" s="119"/>
    </row>
    <row r="56" spans="1:6" s="28" customFormat="1" ht="20" customHeight="1" x14ac:dyDescent="0.2">
      <c r="A56" s="112"/>
      <c r="B56" s="30" t="s">
        <v>76</v>
      </c>
      <c r="C56" s="113"/>
      <c r="D56" s="118"/>
      <c r="E56" s="118"/>
      <c r="F56" s="119"/>
    </row>
    <row r="57" spans="1:6" s="28" customFormat="1" ht="20" customHeight="1" x14ac:dyDescent="0.2">
      <c r="A57" s="112"/>
      <c r="B57" s="30" t="s">
        <v>77</v>
      </c>
      <c r="C57" s="113"/>
      <c r="D57" s="118"/>
      <c r="E57" s="118"/>
      <c r="F57" s="119"/>
    </row>
    <row r="58" spans="1:6" s="28" customFormat="1" ht="20" customHeight="1" x14ac:dyDescent="0.2">
      <c r="A58" s="20">
        <v>2</v>
      </c>
      <c r="B58" s="23" t="s">
        <v>95</v>
      </c>
      <c r="C58" s="22">
        <v>1</v>
      </c>
      <c r="D58" s="24">
        <f>D52/2</f>
        <v>1000000</v>
      </c>
      <c r="E58" s="24">
        <f>D58*C58</f>
        <v>1000000</v>
      </c>
      <c r="F58" s="120" t="s">
        <v>79</v>
      </c>
    </row>
    <row r="59" spans="1:6" s="28" customFormat="1" ht="20" customHeight="1" x14ac:dyDescent="0.2">
      <c r="A59" s="20">
        <v>3</v>
      </c>
      <c r="B59" s="23" t="s">
        <v>87</v>
      </c>
      <c r="C59" s="22">
        <v>1</v>
      </c>
      <c r="D59" s="24">
        <f>D52/2</f>
        <v>1000000</v>
      </c>
      <c r="E59" s="24">
        <f t="shared" ref="E59:E60" si="4">D59*C59</f>
        <v>1000000</v>
      </c>
      <c r="F59" s="120"/>
    </row>
    <row r="60" spans="1:6" s="28" customFormat="1" ht="20" customHeight="1" x14ac:dyDescent="0.2">
      <c r="A60" s="20">
        <v>4</v>
      </c>
      <c r="B60" s="23" t="s">
        <v>80</v>
      </c>
      <c r="C60" s="22">
        <v>1</v>
      </c>
      <c r="D60" s="24">
        <f>D52/2</f>
        <v>1000000</v>
      </c>
      <c r="E60" s="24">
        <f t="shared" si="4"/>
        <v>1000000</v>
      </c>
      <c r="F60" s="121"/>
    </row>
    <row r="61" spans="1:6" s="28" customFormat="1" ht="20" customHeight="1" x14ac:dyDescent="0.2">
      <c r="A61" s="115"/>
      <c r="B61" s="116"/>
      <c r="C61" s="116"/>
      <c r="D61" s="117"/>
      <c r="E61" s="26"/>
      <c r="F61" s="27"/>
    </row>
    <row r="62" spans="1:6" s="28" customFormat="1" ht="20" customHeight="1" x14ac:dyDescent="0.2">
      <c r="A62" s="25"/>
      <c r="B62" s="123" t="s">
        <v>105</v>
      </c>
      <c r="C62" s="124"/>
      <c r="D62" s="125"/>
      <c r="E62" s="15"/>
      <c r="F62" s="16"/>
    </row>
    <row r="63" spans="1:6" s="28" customFormat="1" ht="20" customHeight="1" x14ac:dyDescent="0.2">
      <c r="A63" s="31">
        <v>1</v>
      </c>
      <c r="B63" s="32" t="s">
        <v>106</v>
      </c>
      <c r="C63" s="33">
        <v>1</v>
      </c>
      <c r="D63" s="34">
        <v>4000</v>
      </c>
      <c r="E63" s="35">
        <f>C63*D63</f>
        <v>4000</v>
      </c>
      <c r="F63" s="36" t="s">
        <v>107</v>
      </c>
    </row>
    <row r="64" spans="1:6" s="28" customFormat="1" ht="20" customHeight="1" x14ac:dyDescent="0.2">
      <c r="A64" s="115"/>
      <c r="B64" s="116"/>
      <c r="C64" s="116"/>
      <c r="D64" s="117"/>
      <c r="E64" s="26"/>
      <c r="F64" s="27"/>
    </row>
    <row r="65" spans="1:6" s="5" customFormat="1" ht="20" customHeight="1" x14ac:dyDescent="0.2">
      <c r="A65" s="79"/>
      <c r="B65" s="80"/>
      <c r="C65" s="80"/>
      <c r="D65" s="80"/>
      <c r="E65" s="80"/>
      <c r="F65" s="81"/>
    </row>
  </sheetData>
  <mergeCells count="40">
    <mergeCell ref="A1:F1"/>
    <mergeCell ref="F36:F38"/>
    <mergeCell ref="F48:F50"/>
    <mergeCell ref="B51:D51"/>
    <mergeCell ref="A52:A57"/>
    <mergeCell ref="F52:F57"/>
    <mergeCell ref="F40:F47"/>
    <mergeCell ref="B39:D39"/>
    <mergeCell ref="A40:A47"/>
    <mergeCell ref="C40:C47"/>
    <mergeCell ref="D40:D47"/>
    <mergeCell ref="E40:E47"/>
    <mergeCell ref="B27:D27"/>
    <mergeCell ref="A28:A35"/>
    <mergeCell ref="C28:C35"/>
    <mergeCell ref="D28:D35"/>
    <mergeCell ref="F4:F11"/>
    <mergeCell ref="F12:F14"/>
    <mergeCell ref="F16:F23"/>
    <mergeCell ref="A61:D61"/>
    <mergeCell ref="B62:D62"/>
    <mergeCell ref="C52:C57"/>
    <mergeCell ref="D52:D57"/>
    <mergeCell ref="E52:E57"/>
    <mergeCell ref="B3:D3"/>
    <mergeCell ref="A4:A11"/>
    <mergeCell ref="C4:C11"/>
    <mergeCell ref="D4:D11"/>
    <mergeCell ref="A65:F65"/>
    <mergeCell ref="A64:D64"/>
    <mergeCell ref="B15:D15"/>
    <mergeCell ref="A16:A23"/>
    <mergeCell ref="C16:C23"/>
    <mergeCell ref="D16:D23"/>
    <mergeCell ref="E16:E23"/>
    <mergeCell ref="E28:E35"/>
    <mergeCell ref="F28:F35"/>
    <mergeCell ref="F58:F60"/>
    <mergeCell ref="F24:F26"/>
    <mergeCell ref="E4:E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8797-C93A-0E43-9D66-739A0549691B}">
  <dimension ref="A1:G32"/>
  <sheetViews>
    <sheetView zoomScale="150" zoomScaleNormal="150" workbookViewId="0">
      <selection activeCell="A32" sqref="A32:XFD32"/>
    </sheetView>
  </sheetViews>
  <sheetFormatPr baseColWidth="10" defaultRowHeight="16" x14ac:dyDescent="0.2"/>
  <cols>
    <col min="1" max="1" width="9.33203125" customWidth="1"/>
    <col min="2" max="2" width="17.6640625" customWidth="1"/>
    <col min="3" max="3" width="34.6640625" bestFit="1" customWidth="1"/>
    <col min="4" max="4" width="12.5" customWidth="1"/>
    <col min="5" max="5" width="12.1640625" bestFit="1" customWidth="1"/>
  </cols>
  <sheetData>
    <row r="1" spans="1:7" s="52" customFormat="1" ht="20" customHeight="1" x14ac:dyDescent="0.2">
      <c r="A1" s="127" t="s">
        <v>145</v>
      </c>
      <c r="B1" s="128"/>
      <c r="C1" s="128"/>
      <c r="D1" s="128"/>
      <c r="E1" s="128"/>
      <c r="F1" s="128"/>
      <c r="G1" s="128"/>
    </row>
    <row r="2" spans="1:7" s="12" customFormat="1" ht="20" customHeight="1" x14ac:dyDescent="0.2">
      <c r="A2" s="73"/>
      <c r="B2" s="74" t="s">
        <v>64</v>
      </c>
      <c r="C2" s="74" t="s">
        <v>198</v>
      </c>
      <c r="D2" s="74" t="s">
        <v>196</v>
      </c>
      <c r="E2" s="75" t="s">
        <v>197</v>
      </c>
      <c r="F2" s="76" t="s">
        <v>66</v>
      </c>
      <c r="G2" s="76" t="s">
        <v>68</v>
      </c>
    </row>
    <row r="3" spans="1:7" s="37" customFormat="1" ht="20" customHeight="1" x14ac:dyDescent="0.2">
      <c r="A3" s="20">
        <v>1</v>
      </c>
      <c r="B3" s="132" t="s">
        <v>110</v>
      </c>
      <c r="C3" s="38" t="s">
        <v>111</v>
      </c>
      <c r="D3" s="39" t="s">
        <v>108</v>
      </c>
      <c r="E3" s="20">
        <v>1</v>
      </c>
      <c r="F3" s="40">
        <v>1500000</v>
      </c>
      <c r="G3" s="38"/>
    </row>
    <row r="4" spans="1:7" s="5" customFormat="1" ht="20" customHeight="1" x14ac:dyDescent="0.2">
      <c r="A4" s="20">
        <v>2</v>
      </c>
      <c r="B4" s="133"/>
      <c r="C4" s="45" t="s">
        <v>199</v>
      </c>
      <c r="D4" s="39" t="s">
        <v>108</v>
      </c>
      <c r="E4" s="20">
        <v>1</v>
      </c>
      <c r="F4" s="40">
        <v>1500000</v>
      </c>
      <c r="G4" s="45"/>
    </row>
    <row r="5" spans="1:7" s="5" customFormat="1" ht="20" customHeight="1" x14ac:dyDescent="0.2">
      <c r="A5" s="20">
        <v>3</v>
      </c>
      <c r="B5" s="134"/>
      <c r="C5" s="45" t="s">
        <v>200</v>
      </c>
      <c r="D5" s="39" t="s">
        <v>108</v>
      </c>
      <c r="E5" s="20">
        <v>1</v>
      </c>
      <c r="F5" s="40">
        <v>950000</v>
      </c>
      <c r="G5" s="45"/>
    </row>
    <row r="6" spans="1:7" s="5" customFormat="1" ht="20" customHeight="1" x14ac:dyDescent="0.2">
      <c r="A6" s="20">
        <v>4</v>
      </c>
      <c r="B6" s="132" t="s">
        <v>201</v>
      </c>
      <c r="C6" s="45" t="s">
        <v>202</v>
      </c>
      <c r="D6" s="39" t="s">
        <v>108</v>
      </c>
      <c r="E6" s="20">
        <v>1</v>
      </c>
      <c r="F6" s="40">
        <v>760000</v>
      </c>
      <c r="G6" s="47"/>
    </row>
    <row r="7" spans="1:7" s="5" customFormat="1" ht="20" customHeight="1" x14ac:dyDescent="0.2">
      <c r="A7" s="20">
        <v>5</v>
      </c>
      <c r="B7" s="133"/>
      <c r="C7" s="45" t="s">
        <v>203</v>
      </c>
      <c r="D7" s="42" t="s">
        <v>108</v>
      </c>
      <c r="E7" s="41">
        <v>1</v>
      </c>
      <c r="F7" s="40">
        <v>570000</v>
      </c>
      <c r="G7" s="47"/>
    </row>
    <row r="8" spans="1:7" s="5" customFormat="1" ht="20" customHeight="1" x14ac:dyDescent="0.2">
      <c r="A8" s="20">
        <v>6</v>
      </c>
      <c r="B8" s="133"/>
      <c r="C8" s="45" t="s">
        <v>204</v>
      </c>
      <c r="D8" s="42" t="s">
        <v>108</v>
      </c>
      <c r="E8" s="41">
        <v>1</v>
      </c>
      <c r="F8" s="48">
        <v>380000</v>
      </c>
      <c r="G8" s="47"/>
    </row>
    <row r="9" spans="1:7" s="5" customFormat="1" ht="20" customHeight="1" x14ac:dyDescent="0.2">
      <c r="A9" s="20">
        <v>7</v>
      </c>
      <c r="B9" s="133"/>
      <c r="C9" s="45" t="s">
        <v>112</v>
      </c>
      <c r="D9" s="42" t="s">
        <v>108</v>
      </c>
      <c r="E9" s="41">
        <v>1</v>
      </c>
      <c r="F9" s="48">
        <v>300000</v>
      </c>
      <c r="G9" s="57"/>
    </row>
    <row r="10" spans="1:7" s="5" customFormat="1" ht="20" customHeight="1" x14ac:dyDescent="0.2">
      <c r="A10" s="20">
        <v>8</v>
      </c>
      <c r="B10" s="134"/>
      <c r="C10" s="45" t="s">
        <v>113</v>
      </c>
      <c r="D10" s="42" t="s">
        <v>108</v>
      </c>
      <c r="E10" s="41">
        <v>1</v>
      </c>
      <c r="F10" s="48">
        <v>600000</v>
      </c>
      <c r="G10" s="57"/>
    </row>
    <row r="11" spans="1:7" s="5" customFormat="1" ht="20" customHeight="1" x14ac:dyDescent="0.2">
      <c r="A11" s="20">
        <v>9</v>
      </c>
      <c r="B11" s="119" t="s">
        <v>114</v>
      </c>
      <c r="C11" s="45" t="s">
        <v>205</v>
      </c>
      <c r="D11" s="42" t="s">
        <v>108</v>
      </c>
      <c r="E11" s="41">
        <v>1</v>
      </c>
      <c r="F11" s="43">
        <v>800000</v>
      </c>
      <c r="G11" s="45"/>
    </row>
    <row r="12" spans="1:7" s="5" customFormat="1" ht="20" customHeight="1" x14ac:dyDescent="0.2">
      <c r="A12" s="20">
        <v>10</v>
      </c>
      <c r="B12" s="119"/>
      <c r="C12" s="45" t="s">
        <v>206</v>
      </c>
      <c r="D12" s="42" t="s">
        <v>108</v>
      </c>
      <c r="E12" s="41">
        <v>1</v>
      </c>
      <c r="F12" s="43">
        <v>800000</v>
      </c>
      <c r="G12" s="45"/>
    </row>
    <row r="13" spans="1:7" s="5" customFormat="1" ht="20" customHeight="1" x14ac:dyDescent="0.2">
      <c r="A13" s="20">
        <v>11</v>
      </c>
      <c r="B13" s="119"/>
      <c r="C13" s="45" t="s">
        <v>207</v>
      </c>
      <c r="D13" s="42" t="s">
        <v>108</v>
      </c>
      <c r="E13" s="41">
        <v>1</v>
      </c>
      <c r="F13" s="43">
        <v>800000</v>
      </c>
      <c r="G13" s="45"/>
    </row>
    <row r="14" spans="1:7" s="5" customFormat="1" ht="20" customHeight="1" x14ac:dyDescent="0.2">
      <c r="A14" s="20">
        <v>12</v>
      </c>
      <c r="B14" s="119"/>
      <c r="C14" s="45" t="s">
        <v>208</v>
      </c>
      <c r="D14" s="42" t="s">
        <v>108</v>
      </c>
      <c r="E14" s="41">
        <v>1</v>
      </c>
      <c r="F14" s="43">
        <v>800000</v>
      </c>
      <c r="G14" s="45"/>
    </row>
    <row r="15" spans="1:7" s="5" customFormat="1" ht="20" customHeight="1" x14ac:dyDescent="0.2">
      <c r="A15" s="20">
        <v>13</v>
      </c>
      <c r="B15" s="119"/>
      <c r="C15" s="45" t="s">
        <v>209</v>
      </c>
      <c r="D15" s="42" t="s">
        <v>108</v>
      </c>
      <c r="E15" s="41">
        <v>1</v>
      </c>
      <c r="F15" s="43">
        <v>800000</v>
      </c>
      <c r="G15" s="45"/>
    </row>
    <row r="16" spans="1:7" s="5" customFormat="1" ht="20" customHeight="1" x14ac:dyDescent="0.2">
      <c r="A16" s="20">
        <v>14</v>
      </c>
      <c r="B16" s="119"/>
      <c r="C16" s="45" t="s">
        <v>210</v>
      </c>
      <c r="D16" s="42" t="s">
        <v>108</v>
      </c>
      <c r="E16" s="41">
        <v>1</v>
      </c>
      <c r="F16" s="43">
        <v>500000</v>
      </c>
      <c r="G16" s="45"/>
    </row>
    <row r="17" spans="1:7" s="5" customFormat="1" ht="20" customHeight="1" x14ac:dyDescent="0.2">
      <c r="A17" s="20">
        <v>15</v>
      </c>
      <c r="B17" s="119"/>
      <c r="C17" s="45" t="s">
        <v>211</v>
      </c>
      <c r="D17" s="42" t="s">
        <v>116</v>
      </c>
      <c r="E17" s="41">
        <v>1</v>
      </c>
      <c r="F17" s="43">
        <v>3000000</v>
      </c>
      <c r="G17" s="45"/>
    </row>
    <row r="18" spans="1:7" s="5" customFormat="1" ht="20" customHeight="1" x14ac:dyDescent="0.2">
      <c r="A18" s="20">
        <v>16</v>
      </c>
      <c r="B18" s="119"/>
      <c r="C18" s="45" t="s">
        <v>115</v>
      </c>
      <c r="D18" s="42" t="s">
        <v>116</v>
      </c>
      <c r="E18" s="41">
        <v>1</v>
      </c>
      <c r="F18" s="40">
        <v>500000</v>
      </c>
      <c r="G18" s="45"/>
    </row>
    <row r="19" spans="1:7" s="5" customFormat="1" ht="20" customHeight="1" x14ac:dyDescent="0.2">
      <c r="A19" s="20">
        <v>17</v>
      </c>
      <c r="B19" s="119"/>
      <c r="C19" s="45" t="s">
        <v>117</v>
      </c>
      <c r="D19" s="42" t="s">
        <v>116</v>
      </c>
      <c r="E19" s="41">
        <v>1</v>
      </c>
      <c r="F19" s="40">
        <v>500000</v>
      </c>
      <c r="G19" s="45"/>
    </row>
    <row r="20" spans="1:7" s="5" customFormat="1" ht="20" customHeight="1" x14ac:dyDescent="0.2">
      <c r="A20" s="20">
        <v>18</v>
      </c>
      <c r="B20" s="119"/>
      <c r="C20" s="45" t="s">
        <v>212</v>
      </c>
      <c r="D20" s="42" t="s">
        <v>108</v>
      </c>
      <c r="E20" s="41">
        <v>1</v>
      </c>
      <c r="F20" s="49">
        <v>3000000</v>
      </c>
      <c r="G20" s="45"/>
    </row>
    <row r="21" spans="1:7" s="5" customFormat="1" ht="20" customHeight="1" x14ac:dyDescent="0.2">
      <c r="A21" s="20">
        <v>19</v>
      </c>
      <c r="B21" s="135" t="s">
        <v>118</v>
      </c>
      <c r="C21" s="45" t="s">
        <v>119</v>
      </c>
      <c r="D21" s="42" t="s">
        <v>108</v>
      </c>
      <c r="E21" s="41">
        <v>1</v>
      </c>
      <c r="F21" s="49"/>
      <c r="G21" s="45"/>
    </row>
    <row r="22" spans="1:7" s="5" customFormat="1" ht="20" customHeight="1" x14ac:dyDescent="0.2">
      <c r="A22" s="20">
        <v>20</v>
      </c>
      <c r="B22" s="136"/>
      <c r="C22" s="45" t="s">
        <v>120</v>
      </c>
      <c r="D22" s="42" t="s">
        <v>108</v>
      </c>
      <c r="E22" s="41">
        <v>1</v>
      </c>
      <c r="F22" s="49"/>
      <c r="G22" s="45"/>
    </row>
    <row r="23" spans="1:7" s="5" customFormat="1" ht="20" customHeight="1" x14ac:dyDescent="0.2">
      <c r="A23" s="20">
        <v>21</v>
      </c>
      <c r="B23" s="136"/>
      <c r="C23" s="45" t="s">
        <v>121</v>
      </c>
      <c r="D23" s="42" t="s">
        <v>108</v>
      </c>
      <c r="E23" s="41">
        <v>1</v>
      </c>
      <c r="F23" s="49"/>
      <c r="G23" s="45"/>
    </row>
    <row r="24" spans="1:7" s="5" customFormat="1" ht="20" customHeight="1" x14ac:dyDescent="0.2">
      <c r="A24" s="20">
        <v>22</v>
      </c>
      <c r="B24" s="136"/>
      <c r="C24" s="45" t="s">
        <v>122</v>
      </c>
      <c r="D24" s="42" t="s">
        <v>123</v>
      </c>
      <c r="E24" s="41">
        <v>1</v>
      </c>
      <c r="F24" s="49"/>
      <c r="G24" s="45"/>
    </row>
    <row r="25" spans="1:7" s="5" customFormat="1" ht="20" customHeight="1" x14ac:dyDescent="0.2">
      <c r="A25" s="20">
        <v>23</v>
      </c>
      <c r="B25" s="136"/>
      <c r="C25" s="45" t="s">
        <v>231</v>
      </c>
      <c r="D25" s="42" t="s">
        <v>124</v>
      </c>
      <c r="E25" s="41">
        <v>1</v>
      </c>
      <c r="F25" s="49"/>
      <c r="G25" s="45"/>
    </row>
    <row r="26" spans="1:7" s="5" customFormat="1" ht="20" customHeight="1" x14ac:dyDescent="0.2">
      <c r="A26" s="20">
        <v>24</v>
      </c>
      <c r="B26" s="136"/>
      <c r="C26" s="45" t="s">
        <v>125</v>
      </c>
      <c r="D26" s="42" t="s">
        <v>126</v>
      </c>
      <c r="E26" s="41">
        <v>1</v>
      </c>
      <c r="F26" s="49"/>
      <c r="G26" s="45"/>
    </row>
    <row r="27" spans="1:7" s="5" customFormat="1" ht="20" customHeight="1" x14ac:dyDescent="0.2">
      <c r="A27" s="20">
        <v>25</v>
      </c>
      <c r="B27" s="136"/>
      <c r="C27" s="45" t="s">
        <v>127</v>
      </c>
      <c r="D27" s="42" t="s">
        <v>124</v>
      </c>
      <c r="E27" s="41">
        <v>1</v>
      </c>
      <c r="F27" s="49"/>
      <c r="G27" s="45"/>
    </row>
    <row r="28" spans="1:7" s="5" customFormat="1" ht="20" customHeight="1" x14ac:dyDescent="0.2">
      <c r="A28" s="20">
        <v>26</v>
      </c>
      <c r="B28" s="136"/>
      <c r="C28" s="45" t="s">
        <v>217</v>
      </c>
      <c r="D28" s="42" t="s">
        <v>124</v>
      </c>
      <c r="E28" s="41">
        <v>1</v>
      </c>
      <c r="F28" s="49"/>
      <c r="G28" s="45"/>
    </row>
    <row r="29" spans="1:7" s="5" customFormat="1" ht="20" customHeight="1" x14ac:dyDescent="0.2">
      <c r="A29" s="20">
        <v>27</v>
      </c>
      <c r="B29" s="136"/>
      <c r="C29" s="45" t="s">
        <v>128</v>
      </c>
      <c r="D29" s="42" t="s">
        <v>108</v>
      </c>
      <c r="E29" s="41">
        <v>1</v>
      </c>
      <c r="F29" s="49"/>
      <c r="G29" s="45"/>
    </row>
    <row r="30" spans="1:7" s="71" customFormat="1" ht="20" customHeight="1" x14ac:dyDescent="0.2">
      <c r="A30" s="129">
        <v>28</v>
      </c>
      <c r="B30" s="137" t="s">
        <v>129</v>
      </c>
      <c r="C30" s="69" t="s">
        <v>214</v>
      </c>
      <c r="D30" s="70" t="s">
        <v>213</v>
      </c>
      <c r="E30" s="46">
        <v>1</v>
      </c>
      <c r="F30" s="64">
        <v>800000</v>
      </c>
      <c r="G30" s="64"/>
    </row>
    <row r="31" spans="1:7" s="71" customFormat="1" ht="20" customHeight="1" x14ac:dyDescent="0.2">
      <c r="A31" s="130"/>
      <c r="B31" s="138"/>
      <c r="C31" s="69" t="s">
        <v>215</v>
      </c>
      <c r="D31" s="70" t="s">
        <v>213</v>
      </c>
      <c r="E31" s="46">
        <v>1</v>
      </c>
      <c r="F31" s="64">
        <v>3000000</v>
      </c>
      <c r="G31" s="64"/>
    </row>
    <row r="32" spans="1:7" s="5" customFormat="1" ht="20" customHeight="1" x14ac:dyDescent="0.2">
      <c r="A32" s="131"/>
      <c r="B32" s="131"/>
      <c r="C32" s="131"/>
      <c r="D32" s="131"/>
      <c r="E32" s="131"/>
      <c r="F32" s="131"/>
      <c r="G32" s="131"/>
    </row>
  </sheetData>
  <mergeCells count="8">
    <mergeCell ref="A1:G1"/>
    <mergeCell ref="A30:A31"/>
    <mergeCell ref="A32:G32"/>
    <mergeCell ref="B3:B5"/>
    <mergeCell ref="B6:B10"/>
    <mergeCell ref="B11:B20"/>
    <mergeCell ref="B21:B29"/>
    <mergeCell ref="B30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BD3FC-9398-3F4C-A230-EFBE547BABAB}">
  <dimension ref="A1:G31"/>
  <sheetViews>
    <sheetView zoomScale="150" zoomScaleNormal="150" workbookViewId="0">
      <selection activeCell="C36" sqref="C36"/>
    </sheetView>
  </sheetViews>
  <sheetFormatPr baseColWidth="10" defaultRowHeight="16" x14ac:dyDescent="0.2"/>
  <cols>
    <col min="1" max="1" width="7.33203125" customWidth="1"/>
    <col min="2" max="2" width="19.6640625" bestFit="1" customWidth="1"/>
    <col min="3" max="3" width="35.5" bestFit="1" customWidth="1"/>
    <col min="4" max="4" width="15.83203125" customWidth="1"/>
  </cols>
  <sheetData>
    <row r="1" spans="1:7" s="52" customFormat="1" ht="20" customHeight="1" x14ac:dyDescent="0.2">
      <c r="A1" s="127" t="s">
        <v>144</v>
      </c>
      <c r="B1" s="128"/>
      <c r="C1" s="128"/>
      <c r="D1" s="128"/>
      <c r="E1" s="128"/>
      <c r="F1" s="128"/>
      <c r="G1" s="128"/>
    </row>
    <row r="2" spans="1:7" s="12" customFormat="1" ht="20" customHeight="1" x14ac:dyDescent="0.2">
      <c r="A2" s="73"/>
      <c r="B2" s="74" t="s">
        <v>64</v>
      </c>
      <c r="C2" s="74" t="s">
        <v>198</v>
      </c>
      <c r="D2" s="74" t="s">
        <v>196</v>
      </c>
      <c r="E2" s="75" t="s">
        <v>197</v>
      </c>
      <c r="F2" s="76" t="s">
        <v>66</v>
      </c>
      <c r="G2" s="76" t="s">
        <v>68</v>
      </c>
    </row>
    <row r="3" spans="1:7" s="5" customFormat="1" ht="20" customHeight="1" x14ac:dyDescent="0.2">
      <c r="A3" s="53">
        <v>1</v>
      </c>
      <c r="B3" s="135" t="s">
        <v>130</v>
      </c>
      <c r="C3" s="45" t="s">
        <v>131</v>
      </c>
      <c r="D3" s="39" t="s">
        <v>108</v>
      </c>
      <c r="E3" s="20">
        <v>1</v>
      </c>
      <c r="F3" s="43">
        <v>900000</v>
      </c>
      <c r="G3" s="45"/>
    </row>
    <row r="4" spans="1:7" s="5" customFormat="1" ht="20" customHeight="1" x14ac:dyDescent="0.2">
      <c r="A4" s="53">
        <v>2</v>
      </c>
      <c r="B4" s="135"/>
      <c r="C4" s="45" t="s">
        <v>220</v>
      </c>
      <c r="D4" s="42" t="s">
        <v>108</v>
      </c>
      <c r="E4" s="41">
        <v>1</v>
      </c>
      <c r="F4" s="54">
        <v>1500000</v>
      </c>
      <c r="G4" s="45"/>
    </row>
    <row r="5" spans="1:7" s="5" customFormat="1" ht="20" customHeight="1" x14ac:dyDescent="0.2">
      <c r="A5" s="53">
        <v>3</v>
      </c>
      <c r="B5" s="135" t="s">
        <v>132</v>
      </c>
      <c r="C5" s="55" t="s">
        <v>221</v>
      </c>
      <c r="D5" s="42" t="s">
        <v>108</v>
      </c>
      <c r="E5" s="41">
        <v>1</v>
      </c>
      <c r="F5" s="43">
        <v>1000000</v>
      </c>
      <c r="G5" s="45"/>
    </row>
    <row r="6" spans="1:7" s="5" customFormat="1" ht="20" customHeight="1" x14ac:dyDescent="0.2">
      <c r="A6" s="53">
        <v>4</v>
      </c>
      <c r="B6" s="135"/>
      <c r="C6" s="55" t="s">
        <v>222</v>
      </c>
      <c r="D6" s="42" t="s">
        <v>108</v>
      </c>
      <c r="E6" s="41">
        <v>1</v>
      </c>
      <c r="F6" s="43">
        <v>700000</v>
      </c>
      <c r="G6" s="45"/>
    </row>
    <row r="7" spans="1:7" s="5" customFormat="1" ht="20" customHeight="1" x14ac:dyDescent="0.2">
      <c r="A7" s="53">
        <v>5</v>
      </c>
      <c r="B7" s="135"/>
      <c r="C7" s="45" t="s">
        <v>223</v>
      </c>
      <c r="D7" s="42" t="s">
        <v>108</v>
      </c>
      <c r="E7" s="41">
        <v>1</v>
      </c>
      <c r="F7" s="43">
        <v>200000</v>
      </c>
      <c r="G7" s="45"/>
    </row>
    <row r="8" spans="1:7" s="5" customFormat="1" ht="20" customHeight="1" x14ac:dyDescent="0.2">
      <c r="A8" s="53">
        <v>6</v>
      </c>
      <c r="B8" s="135"/>
      <c r="C8" s="45" t="s">
        <v>133</v>
      </c>
      <c r="D8" s="42" t="s">
        <v>108</v>
      </c>
      <c r="E8" s="41">
        <v>1</v>
      </c>
      <c r="F8" s="43">
        <v>80000</v>
      </c>
      <c r="G8" s="45"/>
    </row>
    <row r="9" spans="1:7" s="5" customFormat="1" ht="20" customHeight="1" x14ac:dyDescent="0.2">
      <c r="A9" s="53">
        <v>7</v>
      </c>
      <c r="B9" s="135"/>
      <c r="C9" s="45" t="s">
        <v>134</v>
      </c>
      <c r="D9" s="42" t="s">
        <v>108</v>
      </c>
      <c r="E9" s="41">
        <v>1</v>
      </c>
      <c r="F9" s="43">
        <v>200000</v>
      </c>
      <c r="G9" s="45"/>
    </row>
    <row r="10" spans="1:7" s="5" customFormat="1" ht="20" customHeight="1" x14ac:dyDescent="0.2">
      <c r="A10" s="53">
        <v>8</v>
      </c>
      <c r="B10" s="135"/>
      <c r="C10" s="45" t="s">
        <v>135</v>
      </c>
      <c r="D10" s="42" t="s">
        <v>108</v>
      </c>
      <c r="E10" s="41">
        <v>1</v>
      </c>
      <c r="F10" s="43">
        <v>200000</v>
      </c>
      <c r="G10" s="45"/>
    </row>
    <row r="11" spans="1:7" s="5" customFormat="1" ht="20" customHeight="1" x14ac:dyDescent="0.2">
      <c r="A11" s="53">
        <v>9</v>
      </c>
      <c r="B11" s="135"/>
      <c r="C11" s="45" t="s">
        <v>136</v>
      </c>
      <c r="D11" s="56" t="s">
        <v>124</v>
      </c>
      <c r="E11" s="41">
        <v>1</v>
      </c>
      <c r="F11" s="54">
        <v>150000</v>
      </c>
      <c r="G11" s="55"/>
    </row>
    <row r="12" spans="1:7" s="5" customFormat="1" ht="20" customHeight="1" x14ac:dyDescent="0.2">
      <c r="A12" s="53">
        <v>10</v>
      </c>
      <c r="B12" s="135"/>
      <c r="C12" s="45" t="s">
        <v>137</v>
      </c>
      <c r="D12" s="42" t="s">
        <v>108</v>
      </c>
      <c r="E12" s="41">
        <v>1</v>
      </c>
      <c r="F12" s="54">
        <v>80000</v>
      </c>
      <c r="G12" s="45"/>
    </row>
    <row r="13" spans="1:7" s="5" customFormat="1" ht="20" customHeight="1" x14ac:dyDescent="0.2">
      <c r="A13" s="53">
        <v>11</v>
      </c>
      <c r="B13" s="135"/>
      <c r="C13" s="45" t="s">
        <v>224</v>
      </c>
      <c r="D13" s="42" t="s">
        <v>108</v>
      </c>
      <c r="E13" s="41">
        <v>1</v>
      </c>
      <c r="F13" s="54">
        <v>200000</v>
      </c>
      <c r="G13" s="45"/>
    </row>
    <row r="14" spans="1:7" s="5" customFormat="1" ht="20" customHeight="1" x14ac:dyDescent="0.2">
      <c r="A14" s="53">
        <v>12</v>
      </c>
      <c r="B14" s="135"/>
      <c r="C14" s="45" t="s">
        <v>225</v>
      </c>
      <c r="D14" s="42" t="s">
        <v>108</v>
      </c>
      <c r="E14" s="41">
        <v>1</v>
      </c>
      <c r="F14" s="54">
        <v>200000</v>
      </c>
      <c r="G14" s="45"/>
    </row>
    <row r="15" spans="1:7" s="5" customFormat="1" ht="20" customHeight="1" x14ac:dyDescent="0.2">
      <c r="A15" s="53">
        <v>13</v>
      </c>
      <c r="B15" s="135"/>
      <c r="C15" s="45" t="s">
        <v>226</v>
      </c>
      <c r="D15" s="42" t="s">
        <v>108</v>
      </c>
      <c r="E15" s="41">
        <v>1</v>
      </c>
      <c r="F15" s="54">
        <v>100000</v>
      </c>
      <c r="G15" s="45"/>
    </row>
    <row r="16" spans="1:7" s="5" customFormat="1" ht="20" customHeight="1" x14ac:dyDescent="0.2">
      <c r="A16" s="53">
        <v>14</v>
      </c>
      <c r="B16" s="135" t="s">
        <v>138</v>
      </c>
      <c r="C16" s="45" t="s">
        <v>227</v>
      </c>
      <c r="D16" s="42" t="s">
        <v>108</v>
      </c>
      <c r="E16" s="41">
        <v>1</v>
      </c>
      <c r="F16" s="54">
        <v>400000</v>
      </c>
      <c r="G16" s="45"/>
    </row>
    <row r="17" spans="1:7" s="5" customFormat="1" ht="20" customHeight="1" x14ac:dyDescent="0.2">
      <c r="A17" s="53">
        <v>15</v>
      </c>
      <c r="B17" s="135"/>
      <c r="C17" s="45" t="s">
        <v>139</v>
      </c>
      <c r="D17" s="42" t="s">
        <v>108</v>
      </c>
      <c r="E17" s="41">
        <v>1</v>
      </c>
      <c r="F17" s="54">
        <v>400000</v>
      </c>
      <c r="G17" s="45"/>
    </row>
    <row r="18" spans="1:7" s="5" customFormat="1" ht="20" customHeight="1" x14ac:dyDescent="0.2">
      <c r="A18" s="53">
        <v>16</v>
      </c>
      <c r="B18" s="135"/>
      <c r="C18" s="45" t="s">
        <v>140</v>
      </c>
      <c r="D18" s="42" t="s">
        <v>108</v>
      </c>
      <c r="E18" s="41">
        <v>1</v>
      </c>
      <c r="F18" s="54">
        <v>100000</v>
      </c>
      <c r="G18" s="45"/>
    </row>
    <row r="19" spans="1:7" s="5" customFormat="1" ht="20" customHeight="1" x14ac:dyDescent="0.2">
      <c r="A19" s="53">
        <v>17</v>
      </c>
      <c r="B19" s="132" t="s">
        <v>232</v>
      </c>
      <c r="C19" s="45" t="s">
        <v>228</v>
      </c>
      <c r="D19" s="42" t="s">
        <v>124</v>
      </c>
      <c r="E19" s="41">
        <v>1</v>
      </c>
      <c r="F19" s="54">
        <v>150000</v>
      </c>
      <c r="G19" s="45"/>
    </row>
    <row r="20" spans="1:7" s="5" customFormat="1" ht="20" customHeight="1" x14ac:dyDescent="0.2">
      <c r="A20" s="53">
        <v>18</v>
      </c>
      <c r="B20" s="133"/>
      <c r="C20" s="45" t="s">
        <v>229</v>
      </c>
      <c r="D20" s="42" t="s">
        <v>124</v>
      </c>
      <c r="E20" s="41">
        <v>1</v>
      </c>
      <c r="F20" s="54">
        <v>250000</v>
      </c>
      <c r="G20" s="45"/>
    </row>
    <row r="21" spans="1:7" s="5" customFormat="1" ht="20" customHeight="1" x14ac:dyDescent="0.2">
      <c r="A21" s="53">
        <v>19</v>
      </c>
      <c r="B21" s="134"/>
      <c r="C21" s="45" t="s">
        <v>230</v>
      </c>
      <c r="D21" s="42" t="s">
        <v>124</v>
      </c>
      <c r="E21" s="41">
        <v>1</v>
      </c>
      <c r="F21" s="54">
        <v>1000000</v>
      </c>
      <c r="G21" s="45"/>
    </row>
    <row r="22" spans="1:7" s="5" customFormat="1" ht="20" customHeight="1" x14ac:dyDescent="0.2">
      <c r="A22" s="53">
        <v>20</v>
      </c>
      <c r="B22" s="133" t="s">
        <v>118</v>
      </c>
      <c r="C22" s="45" t="s">
        <v>141</v>
      </c>
      <c r="D22" s="42" t="s">
        <v>108</v>
      </c>
      <c r="E22" s="41">
        <v>1</v>
      </c>
      <c r="F22" s="54"/>
      <c r="G22" s="45"/>
    </row>
    <row r="23" spans="1:7" s="5" customFormat="1" ht="20" customHeight="1" x14ac:dyDescent="0.2">
      <c r="A23" s="53">
        <v>21</v>
      </c>
      <c r="B23" s="133"/>
      <c r="C23" s="45" t="s">
        <v>142</v>
      </c>
      <c r="D23" s="42" t="s">
        <v>123</v>
      </c>
      <c r="E23" s="41">
        <v>1</v>
      </c>
      <c r="F23" s="54"/>
      <c r="G23" s="45"/>
    </row>
    <row r="24" spans="1:7" s="5" customFormat="1" ht="20" customHeight="1" x14ac:dyDescent="0.2">
      <c r="A24" s="53">
        <v>22</v>
      </c>
      <c r="B24" s="133"/>
      <c r="C24" s="45" t="s">
        <v>231</v>
      </c>
      <c r="D24" s="42" t="s">
        <v>124</v>
      </c>
      <c r="E24" s="41">
        <v>1</v>
      </c>
      <c r="F24" s="44"/>
      <c r="G24" s="45"/>
    </row>
    <row r="25" spans="1:7" s="5" customFormat="1" ht="20" customHeight="1" x14ac:dyDescent="0.2">
      <c r="A25" s="53">
        <v>23</v>
      </c>
      <c r="B25" s="133"/>
      <c r="C25" s="45" t="s">
        <v>125</v>
      </c>
      <c r="D25" s="42" t="s">
        <v>126</v>
      </c>
      <c r="E25" s="41">
        <v>1</v>
      </c>
      <c r="F25" s="44"/>
      <c r="G25" s="45"/>
    </row>
    <row r="26" spans="1:7" s="5" customFormat="1" ht="20" customHeight="1" x14ac:dyDescent="0.2">
      <c r="A26" s="53">
        <v>24</v>
      </c>
      <c r="B26" s="133"/>
      <c r="C26" s="45" t="s">
        <v>127</v>
      </c>
      <c r="D26" s="42" t="s">
        <v>124</v>
      </c>
      <c r="E26" s="41">
        <v>1</v>
      </c>
      <c r="F26" s="44"/>
      <c r="G26" s="45"/>
    </row>
    <row r="27" spans="1:7" s="5" customFormat="1" ht="20" customHeight="1" x14ac:dyDescent="0.2">
      <c r="A27" s="53">
        <v>25</v>
      </c>
      <c r="B27" s="133"/>
      <c r="C27" s="45" t="s">
        <v>217</v>
      </c>
      <c r="D27" s="42" t="s">
        <v>124</v>
      </c>
      <c r="E27" s="41">
        <v>1</v>
      </c>
      <c r="F27" s="44"/>
      <c r="G27" s="45"/>
    </row>
    <row r="28" spans="1:7" s="5" customFormat="1" ht="20" customHeight="1" x14ac:dyDescent="0.2">
      <c r="A28" s="53">
        <v>26</v>
      </c>
      <c r="B28" s="133"/>
      <c r="C28" s="45" t="s">
        <v>143</v>
      </c>
      <c r="D28" s="42" t="s">
        <v>108</v>
      </c>
      <c r="E28" s="41">
        <v>1</v>
      </c>
      <c r="F28" s="44"/>
      <c r="G28" s="45"/>
    </row>
    <row r="29" spans="1:7" s="71" customFormat="1" ht="20" customHeight="1" x14ac:dyDescent="0.2">
      <c r="A29" s="129">
        <v>27</v>
      </c>
      <c r="B29" s="137" t="s">
        <v>129</v>
      </c>
      <c r="C29" s="69" t="s">
        <v>214</v>
      </c>
      <c r="D29" s="70" t="s">
        <v>213</v>
      </c>
      <c r="E29" s="46">
        <v>1</v>
      </c>
      <c r="F29" s="64">
        <v>800000</v>
      </c>
      <c r="G29" s="64"/>
    </row>
    <row r="30" spans="1:7" s="71" customFormat="1" ht="20" customHeight="1" x14ac:dyDescent="0.2">
      <c r="A30" s="130"/>
      <c r="B30" s="138"/>
      <c r="C30" s="69" t="s">
        <v>215</v>
      </c>
      <c r="D30" s="70" t="s">
        <v>213</v>
      </c>
      <c r="E30" s="46">
        <v>1</v>
      </c>
      <c r="F30" s="64">
        <v>3000000</v>
      </c>
      <c r="G30" s="64"/>
    </row>
    <row r="31" spans="1:7" s="5" customFormat="1" ht="20" customHeight="1" x14ac:dyDescent="0.2">
      <c r="A31" s="131"/>
      <c r="B31" s="131"/>
      <c r="C31" s="131"/>
      <c r="D31" s="131"/>
      <c r="E31" s="131"/>
      <c r="F31" s="131"/>
      <c r="G31" s="131"/>
    </row>
  </sheetData>
  <mergeCells count="9">
    <mergeCell ref="A29:A30"/>
    <mergeCell ref="A1:G1"/>
    <mergeCell ref="A31:G31"/>
    <mergeCell ref="B29:B30"/>
    <mergeCell ref="B3:B4"/>
    <mergeCell ref="B5:B15"/>
    <mergeCell ref="B16:B18"/>
    <mergeCell ref="B19:B21"/>
    <mergeCell ref="B22:B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59AC2-2FFB-2644-A173-89952980AEA6}">
  <dimension ref="A1:H14"/>
  <sheetViews>
    <sheetView zoomScale="150" zoomScaleNormal="150" workbookViewId="0">
      <selection activeCell="A14" sqref="A14:XFD14"/>
    </sheetView>
  </sheetViews>
  <sheetFormatPr baseColWidth="10" defaultRowHeight="16" x14ac:dyDescent="0.2"/>
  <cols>
    <col min="1" max="1" width="5" style="28" customWidth="1"/>
    <col min="2" max="2" width="26" style="28" customWidth="1"/>
    <col min="3" max="3" width="39.5" style="28" bestFit="1" customWidth="1"/>
    <col min="4" max="4" width="14" style="28" customWidth="1"/>
    <col min="5" max="5" width="10.83203125" style="28"/>
    <col min="6" max="6" width="11.5" style="28" bestFit="1" customWidth="1"/>
    <col min="7" max="7" width="19.33203125" style="28" customWidth="1"/>
    <col min="8" max="16384" width="10.83203125" style="28"/>
  </cols>
  <sheetData>
    <row r="1" spans="1:8" s="66" customFormat="1" ht="20" customHeight="1" x14ac:dyDescent="0.2">
      <c r="A1" s="139" t="s">
        <v>151</v>
      </c>
      <c r="B1" s="140"/>
      <c r="C1" s="140"/>
      <c r="D1" s="140"/>
      <c r="E1" s="140"/>
      <c r="F1" s="140"/>
      <c r="G1" s="141"/>
    </row>
    <row r="2" spans="1:8" s="12" customFormat="1" ht="20" customHeight="1" x14ac:dyDescent="0.2">
      <c r="A2" s="73"/>
      <c r="B2" s="74" t="s">
        <v>64</v>
      </c>
      <c r="C2" s="74" t="s">
        <v>198</v>
      </c>
      <c r="D2" s="74" t="s">
        <v>196</v>
      </c>
      <c r="E2" s="75" t="s">
        <v>197</v>
      </c>
      <c r="F2" s="76" t="s">
        <v>66</v>
      </c>
      <c r="G2" s="76" t="s">
        <v>68</v>
      </c>
    </row>
    <row r="3" spans="1:8" s="37" customFormat="1" ht="85" x14ac:dyDescent="0.2">
      <c r="A3" s="46">
        <v>1</v>
      </c>
      <c r="B3" s="77" t="s">
        <v>146</v>
      </c>
      <c r="C3" s="58" t="s">
        <v>147</v>
      </c>
      <c r="D3" s="59" t="s">
        <v>124</v>
      </c>
      <c r="E3" s="46">
        <v>1</v>
      </c>
      <c r="F3" s="60">
        <v>600000</v>
      </c>
      <c r="G3" s="61"/>
    </row>
    <row r="4" spans="1:8" s="37" customFormat="1" ht="85" x14ac:dyDescent="0.2">
      <c r="A4" s="46">
        <v>2</v>
      </c>
      <c r="B4" s="77" t="s">
        <v>146</v>
      </c>
      <c r="C4" s="58" t="s">
        <v>218</v>
      </c>
      <c r="D4" s="59" t="s">
        <v>124</v>
      </c>
      <c r="E4" s="46">
        <v>1</v>
      </c>
      <c r="F4" s="60">
        <v>900000</v>
      </c>
      <c r="G4" s="61"/>
    </row>
    <row r="5" spans="1:8" s="37" customFormat="1" ht="20" customHeight="1" x14ac:dyDescent="0.2">
      <c r="A5" s="146">
        <v>3</v>
      </c>
      <c r="B5" s="147" t="s">
        <v>158</v>
      </c>
      <c r="C5" s="67" t="s">
        <v>150</v>
      </c>
      <c r="D5" s="148" t="s">
        <v>109</v>
      </c>
      <c r="E5" s="143"/>
      <c r="F5" s="151"/>
      <c r="G5" s="38"/>
    </row>
    <row r="6" spans="1:8" s="37" customFormat="1" ht="20" customHeight="1" x14ac:dyDescent="0.2">
      <c r="A6" s="146"/>
      <c r="B6" s="147"/>
      <c r="C6" s="67" t="s">
        <v>217</v>
      </c>
      <c r="D6" s="149"/>
      <c r="E6" s="144"/>
      <c r="F6" s="152"/>
      <c r="G6" s="38"/>
    </row>
    <row r="7" spans="1:8" s="37" customFormat="1" ht="20" customHeight="1" x14ac:dyDescent="0.2">
      <c r="A7" s="146"/>
      <c r="B7" s="147"/>
      <c r="C7" s="65" t="s">
        <v>143</v>
      </c>
      <c r="D7" s="150"/>
      <c r="E7" s="145"/>
      <c r="F7" s="153"/>
      <c r="G7" s="38"/>
    </row>
    <row r="8" spans="1:8" s="37" customFormat="1" ht="20" customHeight="1" x14ac:dyDescent="0.2">
      <c r="A8" s="143">
        <v>4</v>
      </c>
      <c r="B8" s="142" t="s">
        <v>156</v>
      </c>
      <c r="C8" s="63" t="s">
        <v>148</v>
      </c>
      <c r="D8" s="59" t="s">
        <v>116</v>
      </c>
      <c r="E8" s="46">
        <v>1</v>
      </c>
      <c r="F8" s="78">
        <v>1000000</v>
      </c>
      <c r="G8" s="63"/>
    </row>
    <row r="9" spans="1:8" s="37" customFormat="1" ht="20" customHeight="1" x14ac:dyDescent="0.2">
      <c r="A9" s="144"/>
      <c r="B9" s="142"/>
      <c r="C9" s="63" t="s">
        <v>219</v>
      </c>
      <c r="D9" s="59" t="s">
        <v>116</v>
      </c>
      <c r="E9" s="59">
        <v>1</v>
      </c>
      <c r="F9" s="72">
        <v>5000000</v>
      </c>
      <c r="G9" s="60"/>
      <c r="H9" s="62"/>
    </row>
    <row r="10" spans="1:8" s="37" customFormat="1" ht="20" customHeight="1" x14ac:dyDescent="0.2">
      <c r="A10" s="144"/>
      <c r="B10" s="142"/>
      <c r="C10" s="63" t="s">
        <v>149</v>
      </c>
      <c r="D10" s="59" t="s">
        <v>116</v>
      </c>
      <c r="E10" s="46">
        <v>1</v>
      </c>
      <c r="F10" s="78">
        <v>1000000</v>
      </c>
      <c r="G10" s="63"/>
    </row>
    <row r="11" spans="1:8" s="37" customFormat="1" ht="20" customHeight="1" x14ac:dyDescent="0.2">
      <c r="A11" s="145"/>
      <c r="B11" s="142"/>
      <c r="C11" s="63" t="s">
        <v>216</v>
      </c>
      <c r="D11" s="59" t="s">
        <v>116</v>
      </c>
      <c r="E11" s="46">
        <v>1</v>
      </c>
      <c r="F11" s="78">
        <v>1000000</v>
      </c>
      <c r="G11" s="63"/>
    </row>
    <row r="12" spans="1:8" s="71" customFormat="1" ht="20" customHeight="1" x14ac:dyDescent="0.2">
      <c r="A12" s="129">
        <v>5</v>
      </c>
      <c r="B12" s="137" t="s">
        <v>129</v>
      </c>
      <c r="C12" s="69" t="s">
        <v>214</v>
      </c>
      <c r="D12" s="70" t="s">
        <v>213</v>
      </c>
      <c r="E12" s="46">
        <v>1</v>
      </c>
      <c r="F12" s="64">
        <v>800000</v>
      </c>
      <c r="G12" s="68"/>
    </row>
    <row r="13" spans="1:8" s="71" customFormat="1" ht="20" customHeight="1" x14ac:dyDescent="0.2">
      <c r="A13" s="130"/>
      <c r="B13" s="138"/>
      <c r="C13" s="69" t="s">
        <v>215</v>
      </c>
      <c r="D13" s="70" t="s">
        <v>213</v>
      </c>
      <c r="E13" s="46">
        <v>1</v>
      </c>
      <c r="F13" s="64">
        <v>3000000</v>
      </c>
      <c r="G13" s="68"/>
    </row>
    <row r="14" spans="1:8" s="5" customFormat="1" ht="20" customHeight="1" x14ac:dyDescent="0.2">
      <c r="A14" s="131"/>
      <c r="B14" s="131"/>
      <c r="C14" s="131"/>
      <c r="D14" s="131"/>
      <c r="E14" s="131"/>
      <c r="F14" s="131"/>
      <c r="G14" s="131"/>
    </row>
  </sheetData>
  <mergeCells count="11">
    <mergeCell ref="A12:A13"/>
    <mergeCell ref="B12:B13"/>
    <mergeCell ref="A1:G1"/>
    <mergeCell ref="A14:G14"/>
    <mergeCell ref="B8:B11"/>
    <mergeCell ref="A8:A11"/>
    <mergeCell ref="A5:A7"/>
    <mergeCell ref="B5:B7"/>
    <mergeCell ref="D5:D7"/>
    <mergeCell ref="E5:E7"/>
    <mergeCell ref="F5:F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50A80-FDE2-6340-9B09-C9B0D57A58EB}">
  <dimension ref="A1:G13"/>
  <sheetViews>
    <sheetView zoomScale="150" zoomScaleNormal="150" workbookViewId="0">
      <selection sqref="A1:XFD13"/>
    </sheetView>
  </sheetViews>
  <sheetFormatPr baseColWidth="10" defaultRowHeight="16" x14ac:dyDescent="0.2"/>
  <cols>
    <col min="1" max="1" width="7.33203125" customWidth="1"/>
    <col min="2" max="2" width="20" customWidth="1"/>
    <col min="3" max="3" width="39.5" bestFit="1" customWidth="1"/>
    <col min="4" max="4" width="17" customWidth="1"/>
    <col min="6" max="6" width="11.5" bestFit="1" customWidth="1"/>
  </cols>
  <sheetData>
    <row r="1" spans="1:7" s="5" customFormat="1" ht="20" customHeight="1" x14ac:dyDescent="0.2">
      <c r="A1" s="157" t="s">
        <v>160</v>
      </c>
      <c r="B1" s="158"/>
      <c r="C1" s="158"/>
      <c r="D1" s="158"/>
      <c r="E1" s="158"/>
      <c r="F1" s="158"/>
      <c r="G1" s="159"/>
    </row>
    <row r="2" spans="1:7" s="12" customFormat="1" ht="20" customHeight="1" x14ac:dyDescent="0.2">
      <c r="A2" s="73"/>
      <c r="B2" s="74" t="s">
        <v>64</v>
      </c>
      <c r="C2" s="74" t="s">
        <v>198</v>
      </c>
      <c r="D2" s="74" t="s">
        <v>196</v>
      </c>
      <c r="E2" s="75" t="s">
        <v>197</v>
      </c>
      <c r="F2" s="76" t="s">
        <v>66</v>
      </c>
      <c r="G2" s="76" t="s">
        <v>68</v>
      </c>
    </row>
    <row r="3" spans="1:7" s="5" customFormat="1" ht="20" customHeight="1" x14ac:dyDescent="0.2">
      <c r="A3" s="148">
        <v>1</v>
      </c>
      <c r="B3" s="132" t="s">
        <v>152</v>
      </c>
      <c r="C3" s="58" t="s">
        <v>153</v>
      </c>
      <c r="D3" s="148" t="s">
        <v>124</v>
      </c>
      <c r="E3" s="143">
        <v>1</v>
      </c>
      <c r="F3" s="151">
        <v>120000</v>
      </c>
      <c r="G3" s="154"/>
    </row>
    <row r="4" spans="1:7" s="5" customFormat="1" ht="20" customHeight="1" x14ac:dyDescent="0.2">
      <c r="A4" s="149"/>
      <c r="B4" s="133"/>
      <c r="C4" s="63" t="s">
        <v>154</v>
      </c>
      <c r="D4" s="149"/>
      <c r="E4" s="144"/>
      <c r="F4" s="152"/>
      <c r="G4" s="155"/>
    </row>
    <row r="5" spans="1:7" s="5" customFormat="1" ht="20" customHeight="1" x14ac:dyDescent="0.2">
      <c r="A5" s="150"/>
      <c r="B5" s="134"/>
      <c r="C5" s="63" t="s">
        <v>155</v>
      </c>
      <c r="D5" s="149"/>
      <c r="E5" s="144"/>
      <c r="F5" s="152"/>
      <c r="G5" s="155"/>
    </row>
    <row r="6" spans="1:7" s="5" customFormat="1" ht="20" customHeight="1" x14ac:dyDescent="0.2">
      <c r="A6" s="148">
        <v>2</v>
      </c>
      <c r="B6" s="132" t="s">
        <v>156</v>
      </c>
      <c r="C6" s="63" t="s">
        <v>216</v>
      </c>
      <c r="D6" s="149"/>
      <c r="E6" s="144"/>
      <c r="F6" s="152"/>
      <c r="G6" s="155"/>
    </row>
    <row r="7" spans="1:7" s="5" customFormat="1" ht="20" customHeight="1" x14ac:dyDescent="0.2">
      <c r="A7" s="150"/>
      <c r="B7" s="134"/>
      <c r="C7" s="63" t="s">
        <v>157</v>
      </c>
      <c r="D7" s="149"/>
      <c r="E7" s="144"/>
      <c r="F7" s="152"/>
      <c r="G7" s="155"/>
    </row>
    <row r="8" spans="1:7" s="5" customFormat="1" ht="20" customHeight="1" x14ac:dyDescent="0.2">
      <c r="A8" s="160">
        <v>3</v>
      </c>
      <c r="B8" s="133" t="s">
        <v>158</v>
      </c>
      <c r="C8" s="45" t="s">
        <v>159</v>
      </c>
      <c r="D8" s="149"/>
      <c r="E8" s="144"/>
      <c r="F8" s="152"/>
      <c r="G8" s="155"/>
    </row>
    <row r="9" spans="1:7" s="5" customFormat="1" ht="20" customHeight="1" x14ac:dyDescent="0.2">
      <c r="A9" s="160"/>
      <c r="B9" s="133"/>
      <c r="C9" s="45" t="s">
        <v>217</v>
      </c>
      <c r="D9" s="149"/>
      <c r="E9" s="144"/>
      <c r="F9" s="152"/>
      <c r="G9" s="155"/>
    </row>
    <row r="10" spans="1:7" s="5" customFormat="1" ht="20" customHeight="1" x14ac:dyDescent="0.2">
      <c r="A10" s="160"/>
      <c r="B10" s="133"/>
      <c r="C10" s="63" t="s">
        <v>128</v>
      </c>
      <c r="D10" s="150"/>
      <c r="E10" s="145"/>
      <c r="F10" s="153"/>
      <c r="G10" s="156"/>
    </row>
    <row r="11" spans="1:7" s="71" customFormat="1" ht="20" customHeight="1" x14ac:dyDescent="0.2">
      <c r="A11" s="129">
        <v>4</v>
      </c>
      <c r="B11" s="137" t="s">
        <v>129</v>
      </c>
      <c r="C11" s="69" t="s">
        <v>214</v>
      </c>
      <c r="D11" s="70" t="s">
        <v>213</v>
      </c>
      <c r="E11" s="46">
        <v>1</v>
      </c>
      <c r="F11" s="64">
        <v>800000</v>
      </c>
      <c r="G11" s="68"/>
    </row>
    <row r="12" spans="1:7" s="71" customFormat="1" ht="20" customHeight="1" x14ac:dyDescent="0.2">
      <c r="A12" s="130"/>
      <c r="B12" s="138"/>
      <c r="C12" s="69" t="s">
        <v>215</v>
      </c>
      <c r="D12" s="70" t="s">
        <v>213</v>
      </c>
      <c r="E12" s="46">
        <v>1</v>
      </c>
      <c r="F12" s="64">
        <v>3000000</v>
      </c>
      <c r="G12" s="68"/>
    </row>
    <row r="13" spans="1:7" s="5" customFormat="1" ht="20" customHeight="1" x14ac:dyDescent="0.2">
      <c r="A13" s="131"/>
      <c r="B13" s="131"/>
      <c r="C13" s="131"/>
      <c r="D13" s="131"/>
      <c r="E13" s="131"/>
      <c r="F13" s="131"/>
      <c r="G13" s="131"/>
    </row>
  </sheetData>
  <mergeCells count="14">
    <mergeCell ref="G3:G10"/>
    <mergeCell ref="A1:G1"/>
    <mergeCell ref="A13:G13"/>
    <mergeCell ref="B11:B12"/>
    <mergeCell ref="A11:A12"/>
    <mergeCell ref="D3:D10"/>
    <mergeCell ref="E3:E10"/>
    <mergeCell ref="A8:A10"/>
    <mergeCell ref="B8:B10"/>
    <mergeCell ref="A3:A5"/>
    <mergeCell ref="B3:B5"/>
    <mergeCell ref="A6:A7"/>
    <mergeCell ref="B6:B7"/>
    <mergeCell ref="F3:F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50708-8B05-1A4B-B446-728B183C33F0}">
  <dimension ref="A1:G30"/>
  <sheetViews>
    <sheetView topLeftCell="A14" zoomScale="150" zoomScaleNormal="150" workbookViewId="0">
      <selection activeCell="I11" sqref="I11"/>
    </sheetView>
  </sheetViews>
  <sheetFormatPr baseColWidth="10" defaultRowHeight="16" x14ac:dyDescent="0.2"/>
  <cols>
    <col min="1" max="1" width="5" bestFit="1" customWidth="1"/>
    <col min="2" max="2" width="19.6640625" bestFit="1" customWidth="1"/>
    <col min="3" max="3" width="48.33203125" bestFit="1" customWidth="1"/>
    <col min="4" max="4" width="14.6640625" customWidth="1"/>
    <col min="6" max="6" width="11.5" bestFit="1" customWidth="1"/>
    <col min="7" max="7" width="31.83203125" customWidth="1"/>
  </cols>
  <sheetData>
    <row r="1" spans="1:7" s="52" customFormat="1" ht="20" customHeight="1" x14ac:dyDescent="0.2">
      <c r="A1" s="161" t="s">
        <v>161</v>
      </c>
      <c r="B1" s="161"/>
      <c r="C1" s="161"/>
      <c r="D1" s="161"/>
      <c r="E1" s="161"/>
      <c r="F1" s="161"/>
      <c r="G1" s="51"/>
    </row>
    <row r="2" spans="1:7" s="12" customFormat="1" ht="20" customHeight="1" x14ac:dyDescent="0.2">
      <c r="A2" s="73"/>
      <c r="B2" s="74" t="s">
        <v>64</v>
      </c>
      <c r="C2" s="74" t="s">
        <v>198</v>
      </c>
      <c r="D2" s="74" t="s">
        <v>196</v>
      </c>
      <c r="E2" s="75" t="s">
        <v>197</v>
      </c>
      <c r="F2" s="76" t="s">
        <v>66</v>
      </c>
      <c r="G2" s="76" t="s">
        <v>68</v>
      </c>
    </row>
    <row r="3" spans="1:7" s="5" customFormat="1" ht="20" customHeight="1" x14ac:dyDescent="0.2">
      <c r="A3" s="53">
        <v>1</v>
      </c>
      <c r="B3" s="132" t="s">
        <v>162</v>
      </c>
      <c r="C3" s="45" t="s">
        <v>167</v>
      </c>
      <c r="D3" s="39" t="s">
        <v>163</v>
      </c>
      <c r="E3" s="46">
        <v>1</v>
      </c>
      <c r="F3" s="43">
        <v>980000</v>
      </c>
      <c r="G3" s="45" t="s">
        <v>164</v>
      </c>
    </row>
    <row r="4" spans="1:7" s="5" customFormat="1" ht="20" customHeight="1" x14ac:dyDescent="0.2">
      <c r="A4" s="53">
        <v>2</v>
      </c>
      <c r="B4" s="133"/>
      <c r="C4" s="45" t="s">
        <v>167</v>
      </c>
      <c r="D4" s="39" t="s">
        <v>163</v>
      </c>
      <c r="E4" s="46">
        <v>1</v>
      </c>
      <c r="F4" s="54">
        <v>750000</v>
      </c>
      <c r="G4" s="45" t="s">
        <v>165</v>
      </c>
    </row>
    <row r="5" spans="1:7" s="5" customFormat="1" ht="20" customHeight="1" x14ac:dyDescent="0.2">
      <c r="A5" s="53">
        <v>3</v>
      </c>
      <c r="B5" s="133"/>
      <c r="C5" s="55" t="s">
        <v>168</v>
      </c>
      <c r="D5" s="39" t="s">
        <v>163</v>
      </c>
      <c r="E5" s="46">
        <v>1</v>
      </c>
      <c r="F5" s="54">
        <v>150000</v>
      </c>
      <c r="G5" s="45" t="s">
        <v>166</v>
      </c>
    </row>
    <row r="6" spans="1:7" s="5" customFormat="1" ht="20" customHeight="1" x14ac:dyDescent="0.2">
      <c r="A6" s="53">
        <v>4</v>
      </c>
      <c r="B6" s="133"/>
      <c r="C6" s="45" t="s">
        <v>169</v>
      </c>
      <c r="D6" s="39" t="s">
        <v>163</v>
      </c>
      <c r="E6" s="46">
        <v>1</v>
      </c>
      <c r="F6" s="54">
        <v>210000</v>
      </c>
      <c r="G6" s="45"/>
    </row>
    <row r="7" spans="1:7" s="5" customFormat="1" ht="20" customHeight="1" x14ac:dyDescent="0.2">
      <c r="A7" s="53">
        <v>5</v>
      </c>
      <c r="B7" s="133"/>
      <c r="C7" s="45" t="s">
        <v>171</v>
      </c>
      <c r="D7" s="39" t="s">
        <v>163</v>
      </c>
      <c r="E7" s="46">
        <v>1</v>
      </c>
      <c r="F7" s="54">
        <v>90000</v>
      </c>
      <c r="G7" s="45"/>
    </row>
    <row r="8" spans="1:7" s="5" customFormat="1" ht="20" customHeight="1" x14ac:dyDescent="0.2">
      <c r="A8" s="53">
        <v>6</v>
      </c>
      <c r="B8" s="133"/>
      <c r="C8" s="45" t="s">
        <v>172</v>
      </c>
      <c r="D8" s="39" t="s">
        <v>163</v>
      </c>
      <c r="E8" s="46">
        <v>1</v>
      </c>
      <c r="F8" s="54">
        <v>55000</v>
      </c>
      <c r="G8" s="45"/>
    </row>
    <row r="9" spans="1:7" s="5" customFormat="1" ht="20" customHeight="1" x14ac:dyDescent="0.2">
      <c r="A9" s="53">
        <v>7</v>
      </c>
      <c r="B9" s="133"/>
      <c r="C9" s="45" t="s">
        <v>173</v>
      </c>
      <c r="D9" s="39" t="s">
        <v>163</v>
      </c>
      <c r="E9" s="46">
        <v>1</v>
      </c>
      <c r="F9" s="54">
        <v>120000</v>
      </c>
      <c r="G9" s="45"/>
    </row>
    <row r="10" spans="1:7" s="5" customFormat="1" ht="20" customHeight="1" x14ac:dyDescent="0.2">
      <c r="A10" s="53">
        <v>8</v>
      </c>
      <c r="B10" s="133"/>
      <c r="C10" s="45" t="s">
        <v>174</v>
      </c>
      <c r="D10" s="39" t="s">
        <v>163</v>
      </c>
      <c r="E10" s="46">
        <v>1</v>
      </c>
      <c r="F10" s="54">
        <v>230000</v>
      </c>
      <c r="G10" s="55"/>
    </row>
    <row r="11" spans="1:7" s="5" customFormat="1" ht="20" customHeight="1" x14ac:dyDescent="0.2">
      <c r="A11" s="53">
        <v>9</v>
      </c>
      <c r="B11" s="133"/>
      <c r="C11" s="45" t="s">
        <v>175</v>
      </c>
      <c r="D11" s="39" t="s">
        <v>163</v>
      </c>
      <c r="E11" s="46">
        <v>1</v>
      </c>
      <c r="F11" s="54">
        <v>350000</v>
      </c>
      <c r="G11" s="45"/>
    </row>
    <row r="12" spans="1:7" s="5" customFormat="1" ht="20" customHeight="1" x14ac:dyDescent="0.2">
      <c r="A12" s="53">
        <v>10</v>
      </c>
      <c r="B12" s="133"/>
      <c r="C12" s="45" t="s">
        <v>176</v>
      </c>
      <c r="D12" s="39" t="s">
        <v>163</v>
      </c>
      <c r="E12" s="46">
        <v>1</v>
      </c>
      <c r="F12" s="54">
        <v>350000</v>
      </c>
      <c r="G12" s="45"/>
    </row>
    <row r="13" spans="1:7" s="5" customFormat="1" ht="20" customHeight="1" x14ac:dyDescent="0.2">
      <c r="A13" s="53">
        <v>11</v>
      </c>
      <c r="B13" s="133"/>
      <c r="C13" s="45" t="s">
        <v>177</v>
      </c>
      <c r="D13" s="39" t="s">
        <v>163</v>
      </c>
      <c r="E13" s="46">
        <v>1</v>
      </c>
      <c r="F13" s="54">
        <v>530000</v>
      </c>
      <c r="G13" s="45"/>
    </row>
    <row r="14" spans="1:7" s="5" customFormat="1" ht="20" customHeight="1" x14ac:dyDescent="0.2">
      <c r="A14" s="53">
        <v>12</v>
      </c>
      <c r="B14" s="134"/>
      <c r="C14" s="45" t="s">
        <v>178</v>
      </c>
      <c r="D14" s="39" t="s">
        <v>163</v>
      </c>
      <c r="E14" s="46">
        <v>1</v>
      </c>
      <c r="F14" s="54">
        <v>200000</v>
      </c>
      <c r="G14" s="45"/>
    </row>
    <row r="15" spans="1:7" s="5" customFormat="1" ht="20" customHeight="1" x14ac:dyDescent="0.2">
      <c r="A15" s="53">
        <v>13</v>
      </c>
      <c r="B15" s="132" t="s">
        <v>183</v>
      </c>
      <c r="C15" s="45" t="s">
        <v>179</v>
      </c>
      <c r="D15" s="39" t="s">
        <v>163</v>
      </c>
      <c r="E15" s="46">
        <v>1</v>
      </c>
      <c r="F15" s="54">
        <v>220000</v>
      </c>
      <c r="G15" s="45"/>
    </row>
    <row r="16" spans="1:7" s="5" customFormat="1" ht="20" customHeight="1" x14ac:dyDescent="0.2">
      <c r="A16" s="53">
        <v>14</v>
      </c>
      <c r="B16" s="133"/>
      <c r="C16" s="45" t="s">
        <v>180</v>
      </c>
      <c r="D16" s="39" t="s">
        <v>163</v>
      </c>
      <c r="E16" s="46">
        <v>1</v>
      </c>
      <c r="F16" s="54">
        <v>100000</v>
      </c>
      <c r="G16" s="45"/>
    </row>
    <row r="17" spans="1:7" s="5" customFormat="1" ht="20" customHeight="1" x14ac:dyDescent="0.2">
      <c r="A17" s="53">
        <v>15</v>
      </c>
      <c r="B17" s="133"/>
      <c r="C17" s="45" t="s">
        <v>181</v>
      </c>
      <c r="D17" s="39" t="s">
        <v>163</v>
      </c>
      <c r="E17" s="46">
        <v>1</v>
      </c>
      <c r="F17" s="54">
        <v>280000</v>
      </c>
      <c r="G17" s="45"/>
    </row>
    <row r="18" spans="1:7" s="5" customFormat="1" ht="20" customHeight="1" x14ac:dyDescent="0.2">
      <c r="A18" s="53">
        <v>16</v>
      </c>
      <c r="B18" s="134"/>
      <c r="C18" s="45" t="s">
        <v>182</v>
      </c>
      <c r="D18" s="39" t="s">
        <v>163</v>
      </c>
      <c r="E18" s="46">
        <v>1</v>
      </c>
      <c r="F18" s="54">
        <v>150000</v>
      </c>
      <c r="G18" s="45"/>
    </row>
    <row r="19" spans="1:7" s="5" customFormat="1" ht="20" customHeight="1" x14ac:dyDescent="0.2">
      <c r="A19" s="53">
        <v>17</v>
      </c>
      <c r="B19" s="132" t="s">
        <v>188</v>
      </c>
      <c r="C19" s="45" t="s">
        <v>184</v>
      </c>
      <c r="D19" s="39" t="s">
        <v>163</v>
      </c>
      <c r="E19" s="46">
        <v>1</v>
      </c>
      <c r="F19" s="54">
        <v>210000</v>
      </c>
      <c r="G19" s="45"/>
    </row>
    <row r="20" spans="1:7" s="5" customFormat="1" ht="20" customHeight="1" x14ac:dyDescent="0.2">
      <c r="A20" s="53">
        <v>18</v>
      </c>
      <c r="B20" s="133"/>
      <c r="C20" s="45" t="s">
        <v>185</v>
      </c>
      <c r="D20" s="39" t="s">
        <v>163</v>
      </c>
      <c r="E20" s="46">
        <v>1</v>
      </c>
      <c r="F20" s="54">
        <v>430000</v>
      </c>
      <c r="G20" s="45"/>
    </row>
    <row r="21" spans="1:7" s="5" customFormat="1" ht="20" customHeight="1" x14ac:dyDescent="0.2">
      <c r="A21" s="53">
        <v>19</v>
      </c>
      <c r="B21" s="133"/>
      <c r="C21" s="45" t="s">
        <v>186</v>
      </c>
      <c r="D21" s="39" t="s">
        <v>163</v>
      </c>
      <c r="E21" s="46">
        <v>1</v>
      </c>
      <c r="F21" s="54">
        <v>780000</v>
      </c>
      <c r="G21" s="45"/>
    </row>
    <row r="22" spans="1:7" s="5" customFormat="1" ht="20" customHeight="1" x14ac:dyDescent="0.2">
      <c r="A22" s="53">
        <v>20</v>
      </c>
      <c r="B22" s="134"/>
      <c r="C22" s="45" t="s">
        <v>187</v>
      </c>
      <c r="D22" s="39" t="s">
        <v>163</v>
      </c>
      <c r="E22" s="46">
        <v>1</v>
      </c>
      <c r="F22" s="54">
        <v>350000</v>
      </c>
      <c r="G22" s="45"/>
    </row>
    <row r="23" spans="1:7" s="5" customFormat="1" ht="20" customHeight="1" x14ac:dyDescent="0.2">
      <c r="A23" s="53">
        <v>21</v>
      </c>
      <c r="B23" s="132" t="s">
        <v>193</v>
      </c>
      <c r="C23" s="45" t="s">
        <v>189</v>
      </c>
      <c r="D23" s="39" t="s">
        <v>190</v>
      </c>
      <c r="E23" s="46">
        <v>1</v>
      </c>
      <c r="F23" s="54">
        <v>320000</v>
      </c>
      <c r="G23" s="45"/>
    </row>
    <row r="24" spans="1:7" s="5" customFormat="1" ht="20" customHeight="1" x14ac:dyDescent="0.2">
      <c r="A24" s="53">
        <v>22</v>
      </c>
      <c r="B24" s="133"/>
      <c r="C24" s="45" t="s">
        <v>191</v>
      </c>
      <c r="D24" s="39" t="s">
        <v>190</v>
      </c>
      <c r="E24" s="46">
        <v>1</v>
      </c>
      <c r="F24" s="54">
        <v>410000</v>
      </c>
      <c r="G24" s="45"/>
    </row>
    <row r="25" spans="1:7" s="5" customFormat="1" ht="20" customHeight="1" x14ac:dyDescent="0.2">
      <c r="A25" s="53">
        <v>23</v>
      </c>
      <c r="B25" s="134"/>
      <c r="C25" s="45" t="s">
        <v>192</v>
      </c>
      <c r="D25" s="39" t="s">
        <v>190</v>
      </c>
      <c r="E25" s="46">
        <v>1</v>
      </c>
      <c r="F25" s="54">
        <v>520000</v>
      </c>
      <c r="G25" s="45"/>
    </row>
    <row r="26" spans="1:7" s="5" customFormat="1" ht="20" customHeight="1" x14ac:dyDescent="0.2">
      <c r="A26" s="53">
        <v>24</v>
      </c>
      <c r="B26" s="50" t="s">
        <v>194</v>
      </c>
      <c r="C26" s="45" t="s">
        <v>195</v>
      </c>
      <c r="D26" s="39" t="s">
        <v>170</v>
      </c>
      <c r="E26" s="46">
        <v>1</v>
      </c>
      <c r="F26" s="54">
        <v>70000</v>
      </c>
      <c r="G26" s="45"/>
    </row>
    <row r="27" spans="1:7" s="5" customFormat="1" ht="20" customHeight="1" x14ac:dyDescent="0.2">
      <c r="A27" s="53">
        <v>21</v>
      </c>
      <c r="B27" s="132" t="s">
        <v>193</v>
      </c>
      <c r="C27" s="45" t="s">
        <v>189</v>
      </c>
      <c r="D27" s="39" t="s">
        <v>190</v>
      </c>
      <c r="E27" s="46">
        <v>1</v>
      </c>
      <c r="F27" s="54">
        <v>320000</v>
      </c>
      <c r="G27" s="45"/>
    </row>
    <row r="28" spans="1:7" s="5" customFormat="1" ht="20" customHeight="1" x14ac:dyDescent="0.2">
      <c r="A28" s="53">
        <v>22</v>
      </c>
      <c r="B28" s="133"/>
      <c r="C28" s="45" t="s">
        <v>191</v>
      </c>
      <c r="D28" s="39" t="s">
        <v>190</v>
      </c>
      <c r="E28" s="46">
        <v>1</v>
      </c>
      <c r="F28" s="54">
        <v>410000</v>
      </c>
      <c r="G28" s="45"/>
    </row>
    <row r="29" spans="1:7" s="5" customFormat="1" ht="20" customHeight="1" x14ac:dyDescent="0.2">
      <c r="A29" s="53">
        <v>23</v>
      </c>
      <c r="B29" s="134"/>
      <c r="C29" s="45" t="s">
        <v>192</v>
      </c>
      <c r="D29" s="39" t="s">
        <v>190</v>
      </c>
      <c r="E29" s="46">
        <v>1</v>
      </c>
      <c r="F29" s="54">
        <v>520000</v>
      </c>
      <c r="G29" s="45"/>
    </row>
    <row r="30" spans="1:7" s="5" customFormat="1" ht="20" customHeight="1" x14ac:dyDescent="0.2">
      <c r="A30" s="131"/>
      <c r="B30" s="131"/>
      <c r="C30" s="131"/>
      <c r="D30" s="131"/>
      <c r="E30" s="131"/>
      <c r="F30" s="131"/>
      <c r="G30" s="131"/>
    </row>
  </sheetData>
  <mergeCells count="7">
    <mergeCell ref="B27:B29"/>
    <mergeCell ref="A30:G30"/>
    <mergeCell ref="A1:F1"/>
    <mergeCell ref="B3:B14"/>
    <mergeCell ref="B15:B18"/>
    <mergeCell ref="B19:B22"/>
    <mergeCell ref="B23:B2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Thiết Bị Kỹ Thuật</vt:lpstr>
      <vt:lpstr>Phim Trường Ghi Hình</vt:lpstr>
      <vt:lpstr>Thiết Bị Âm Thanh</vt:lpstr>
      <vt:lpstr>Thiết Bị Ánh Sáng</vt:lpstr>
      <vt:lpstr>Màn Hình LED</vt:lpstr>
      <vt:lpstr>Matrix LED</vt:lpstr>
      <vt:lpstr>Hạng Mục Sân Khấu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Sang</dc:creator>
  <cp:lastModifiedBy>Euro Sơn</cp:lastModifiedBy>
  <dcterms:created xsi:type="dcterms:W3CDTF">2020-12-01T09:22:20Z</dcterms:created>
  <dcterms:modified xsi:type="dcterms:W3CDTF">2026-06-20T07:41:04Z</dcterms:modified>
</cp:coreProperties>
</file>